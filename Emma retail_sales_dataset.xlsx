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0" documentId="8_{D005A1B8-5582-44D7-AD2E-A42352765078}" xr6:coauthVersionLast="47" xr6:coauthVersionMax="47" xr10:uidLastSave="{00000000-0000-0000-0000-000000000000}"/>
  <bookViews>
    <workbookView xWindow="-28920" yWindow="-1530" windowWidth="29040" windowHeight="16440" xr2:uid="{00000000-000D-0000-FFFF-FFFF00000000}"/>
  </bookViews>
  <sheets>
    <sheet name="retail_sales_dataset (2)" sheetId="3" r:id="rId1"/>
    <sheet name="Transactions" sheetId="2" r:id="rId2"/>
  </sheets>
  <externalReferences>
    <externalReference r:id="rId3"/>
  </externalReferences>
  <definedNames>
    <definedName name="_xlnm._FilterDatabase" localSheetId="0" hidden="1">'retail_sales_dataset (2)'!$A:$K</definedName>
    <definedName name="_xlcn.WorksheetConnection_retail_sales_dataset.xlsxTable1" hidden="1">[1]retail_sales_dataset!$A$1:$I$1001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C14" i="2"/>
  <c r="D14" i="2"/>
  <c r="B12" i="2"/>
  <c r="C12" i="2"/>
  <c r="D12" i="2"/>
  <c r="A14" i="2"/>
  <c r="A12" i="2"/>
  <c r="D3" i="2"/>
  <c r="D4" i="2"/>
  <c r="D5" i="2"/>
  <c r="D6" i="2"/>
  <c r="D7" i="2"/>
  <c r="D8" i="2"/>
  <c r="D9" i="2"/>
  <c r="D10" i="2"/>
  <c r="C3" i="2"/>
  <c r="C4" i="2"/>
  <c r="C5" i="2"/>
  <c r="C6" i="2"/>
  <c r="C7" i="2"/>
  <c r="C8" i="2"/>
  <c r="C9" i="2"/>
  <c r="C10" i="2"/>
  <c r="C2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N1002" i="3" s="1" a="1"/>
  <c r="N1002" i="3" s="1"/>
  <c r="C2" i="3"/>
  <c r="G1002" i="3" a="1"/>
  <c r="G1002" i="3" s="1"/>
  <c r="K1001" i="3"/>
  <c r="G1001" i="3" a="1"/>
  <c r="G1001" i="3" s="1"/>
  <c r="K1000" i="3"/>
  <c r="G1000" i="3" a="1"/>
  <c r="G1000" i="3" s="1"/>
  <c r="K999" i="3"/>
  <c r="G999" i="3" a="1"/>
  <c r="G999" i="3" s="1"/>
  <c r="K998" i="3"/>
  <c r="G998" i="3" a="1"/>
  <c r="G998" i="3" s="1"/>
  <c r="K997" i="3"/>
  <c r="G997" i="3" a="1"/>
  <c r="G997" i="3" s="1"/>
  <c r="K996" i="3"/>
  <c r="G996" i="3" a="1"/>
  <c r="G996" i="3" s="1"/>
  <c r="K995" i="3"/>
  <c r="G995" i="3" a="1"/>
  <c r="G995" i="3" s="1"/>
  <c r="K994" i="3"/>
  <c r="G994" i="3" a="1"/>
  <c r="G994" i="3" s="1"/>
  <c r="K993" i="3"/>
  <c r="G993" i="3" a="1"/>
  <c r="G993" i="3" s="1"/>
  <c r="K992" i="3"/>
  <c r="G992" i="3" a="1"/>
  <c r="G992" i="3" s="1"/>
  <c r="K991" i="3"/>
  <c r="G991" i="3" a="1"/>
  <c r="G991" i="3" s="1"/>
  <c r="K990" i="3"/>
  <c r="G990" i="3" a="1"/>
  <c r="G990" i="3" s="1"/>
  <c r="K989" i="3"/>
  <c r="G989" i="3" a="1"/>
  <c r="G989" i="3" s="1"/>
  <c r="K988" i="3"/>
  <c r="G988" i="3" a="1"/>
  <c r="G988" i="3" s="1"/>
  <c r="K987" i="3"/>
  <c r="G987" i="3" a="1"/>
  <c r="G987" i="3" s="1"/>
  <c r="K986" i="3"/>
  <c r="G986" i="3" a="1"/>
  <c r="G986" i="3" s="1"/>
  <c r="K985" i="3"/>
  <c r="G985" i="3" a="1"/>
  <c r="G985" i="3" s="1"/>
  <c r="K984" i="3"/>
  <c r="G984" i="3" a="1"/>
  <c r="G984" i="3" s="1"/>
  <c r="K983" i="3"/>
  <c r="G983" i="3" a="1"/>
  <c r="G983" i="3" s="1"/>
  <c r="K982" i="3"/>
  <c r="G982" i="3" a="1"/>
  <c r="G982" i="3" s="1"/>
  <c r="K981" i="3"/>
  <c r="G981" i="3" a="1"/>
  <c r="G981" i="3" s="1"/>
  <c r="K980" i="3"/>
  <c r="G980" i="3" a="1"/>
  <c r="G980" i="3" s="1"/>
  <c r="K979" i="3"/>
  <c r="G979" i="3" a="1"/>
  <c r="G979" i="3" s="1"/>
  <c r="K978" i="3"/>
  <c r="G978" i="3" a="1"/>
  <c r="G978" i="3" s="1"/>
  <c r="K977" i="3"/>
  <c r="G977" i="3" a="1"/>
  <c r="G977" i="3" s="1"/>
  <c r="K976" i="3"/>
  <c r="G976" i="3" a="1"/>
  <c r="G976" i="3" s="1"/>
  <c r="K975" i="3"/>
  <c r="G975" i="3" a="1"/>
  <c r="G975" i="3" s="1"/>
  <c r="K974" i="3"/>
  <c r="G974" i="3" a="1"/>
  <c r="G974" i="3" s="1"/>
  <c r="K973" i="3"/>
  <c r="G973" i="3" a="1"/>
  <c r="G973" i="3" s="1"/>
  <c r="K972" i="3"/>
  <c r="G972" i="3" a="1"/>
  <c r="G972" i="3" s="1"/>
  <c r="K971" i="3"/>
  <c r="G971" i="3" a="1"/>
  <c r="G971" i="3" s="1"/>
  <c r="K970" i="3"/>
  <c r="G970" i="3" a="1"/>
  <c r="G970" i="3" s="1"/>
  <c r="K969" i="3"/>
  <c r="G969" i="3" a="1"/>
  <c r="G969" i="3" s="1"/>
  <c r="K968" i="3"/>
  <c r="G968" i="3" a="1"/>
  <c r="G968" i="3" s="1"/>
  <c r="K967" i="3"/>
  <c r="G967" i="3" a="1"/>
  <c r="G967" i="3" s="1"/>
  <c r="K966" i="3"/>
  <c r="G966" i="3" a="1"/>
  <c r="G966" i="3" s="1"/>
  <c r="K965" i="3"/>
  <c r="G965" i="3" a="1"/>
  <c r="G965" i="3" s="1"/>
  <c r="K964" i="3"/>
  <c r="G964" i="3" a="1"/>
  <c r="G964" i="3" s="1"/>
  <c r="K963" i="3"/>
  <c r="G963" i="3" a="1"/>
  <c r="G963" i="3" s="1"/>
  <c r="K962" i="3"/>
  <c r="G962" i="3" a="1"/>
  <c r="G962" i="3" s="1"/>
  <c r="K961" i="3"/>
  <c r="G961" i="3" a="1"/>
  <c r="G961" i="3" s="1"/>
  <c r="K960" i="3"/>
  <c r="G960" i="3" a="1"/>
  <c r="G960" i="3" s="1"/>
  <c r="K959" i="3"/>
  <c r="G959" i="3" a="1"/>
  <c r="G959" i="3" s="1"/>
  <c r="K958" i="3"/>
  <c r="G958" i="3" a="1"/>
  <c r="G958" i="3" s="1"/>
  <c r="K957" i="3"/>
  <c r="G957" i="3" a="1"/>
  <c r="G957" i="3" s="1"/>
  <c r="K956" i="3"/>
  <c r="G956" i="3" a="1"/>
  <c r="G956" i="3" s="1"/>
  <c r="K955" i="3"/>
  <c r="G955" i="3" a="1"/>
  <c r="G955" i="3" s="1"/>
  <c r="K954" i="3"/>
  <c r="G954" i="3" a="1"/>
  <c r="G954" i="3" s="1"/>
  <c r="K953" i="3"/>
  <c r="G953" i="3" a="1"/>
  <c r="G953" i="3" s="1"/>
  <c r="K952" i="3"/>
  <c r="G952" i="3" a="1"/>
  <c r="G952" i="3" s="1"/>
  <c r="K951" i="3"/>
  <c r="G951" i="3" a="1"/>
  <c r="G951" i="3" s="1"/>
  <c r="K950" i="3"/>
  <c r="G950" i="3" a="1"/>
  <c r="G950" i="3" s="1"/>
  <c r="K949" i="3"/>
  <c r="G949" i="3" a="1"/>
  <c r="G949" i="3" s="1"/>
  <c r="K948" i="3"/>
  <c r="G948" i="3" a="1"/>
  <c r="G948" i="3" s="1"/>
  <c r="K947" i="3"/>
  <c r="G947" i="3" a="1"/>
  <c r="G947" i="3" s="1"/>
  <c r="K946" i="3"/>
  <c r="G946" i="3" a="1"/>
  <c r="G946" i="3" s="1"/>
  <c r="K945" i="3"/>
  <c r="G945" i="3" a="1"/>
  <c r="G945" i="3" s="1"/>
  <c r="K944" i="3"/>
  <c r="G944" i="3" a="1"/>
  <c r="G944" i="3" s="1"/>
  <c r="K943" i="3"/>
  <c r="G943" i="3" a="1"/>
  <c r="G943" i="3" s="1"/>
  <c r="K942" i="3"/>
  <c r="G942" i="3" a="1"/>
  <c r="G942" i="3" s="1"/>
  <c r="K941" i="3"/>
  <c r="G941" i="3" a="1"/>
  <c r="G941" i="3" s="1"/>
  <c r="K940" i="3"/>
  <c r="G940" i="3" a="1"/>
  <c r="G940" i="3" s="1"/>
  <c r="K939" i="3"/>
  <c r="G939" i="3" a="1"/>
  <c r="G939" i="3" s="1"/>
  <c r="K938" i="3"/>
  <c r="G938" i="3" a="1"/>
  <c r="G938" i="3" s="1"/>
  <c r="K937" i="3"/>
  <c r="G937" i="3" a="1"/>
  <c r="G937" i="3" s="1"/>
  <c r="K936" i="3"/>
  <c r="G936" i="3" a="1"/>
  <c r="G936" i="3" s="1"/>
  <c r="K935" i="3"/>
  <c r="G935" i="3" a="1"/>
  <c r="G935" i="3" s="1"/>
  <c r="K934" i="3"/>
  <c r="G934" i="3" a="1"/>
  <c r="G934" i="3" s="1"/>
  <c r="K933" i="3"/>
  <c r="G933" i="3" a="1"/>
  <c r="G933" i="3" s="1"/>
  <c r="K932" i="3"/>
  <c r="G932" i="3" a="1"/>
  <c r="G932" i="3" s="1"/>
  <c r="K931" i="3"/>
  <c r="G931" i="3" a="1"/>
  <c r="G931" i="3" s="1"/>
  <c r="K930" i="3"/>
  <c r="G930" i="3" a="1"/>
  <c r="G930" i="3" s="1"/>
  <c r="K929" i="3"/>
  <c r="G929" i="3" a="1"/>
  <c r="G929" i="3" s="1"/>
  <c r="K928" i="3"/>
  <c r="G928" i="3" a="1"/>
  <c r="G928" i="3" s="1"/>
  <c r="K927" i="3"/>
  <c r="G927" i="3" a="1"/>
  <c r="G927" i="3" s="1"/>
  <c r="K926" i="3"/>
  <c r="G926" i="3" a="1"/>
  <c r="G926" i="3" s="1"/>
  <c r="K925" i="3"/>
  <c r="G925" i="3" a="1"/>
  <c r="G925" i="3" s="1"/>
  <c r="K924" i="3"/>
  <c r="G924" i="3" a="1"/>
  <c r="G924" i="3" s="1"/>
  <c r="K923" i="3"/>
  <c r="G923" i="3" a="1"/>
  <c r="G923" i="3" s="1"/>
  <c r="K922" i="3"/>
  <c r="G922" i="3" a="1"/>
  <c r="G922" i="3" s="1"/>
  <c r="K921" i="3"/>
  <c r="G921" i="3" a="1"/>
  <c r="G921" i="3" s="1"/>
  <c r="K920" i="3"/>
  <c r="G920" i="3" a="1"/>
  <c r="G920" i="3" s="1"/>
  <c r="K919" i="3"/>
  <c r="G919" i="3" a="1"/>
  <c r="G919" i="3" s="1"/>
  <c r="K918" i="3"/>
  <c r="G918" i="3" a="1"/>
  <c r="G918" i="3" s="1"/>
  <c r="K917" i="3"/>
  <c r="G917" i="3" a="1"/>
  <c r="G917" i="3" s="1"/>
  <c r="K916" i="3"/>
  <c r="G916" i="3" a="1"/>
  <c r="G916" i="3" s="1"/>
  <c r="K915" i="3"/>
  <c r="G915" i="3" a="1"/>
  <c r="G915" i="3" s="1"/>
  <c r="K914" i="3"/>
  <c r="G914" i="3" a="1"/>
  <c r="G914" i="3" s="1"/>
  <c r="K913" i="3"/>
  <c r="G913" i="3" a="1"/>
  <c r="G913" i="3" s="1"/>
  <c r="K912" i="3"/>
  <c r="G912" i="3" a="1"/>
  <c r="G912" i="3" s="1"/>
  <c r="K911" i="3"/>
  <c r="G911" i="3" a="1"/>
  <c r="G911" i="3" s="1"/>
  <c r="K910" i="3"/>
  <c r="G910" i="3" a="1"/>
  <c r="G910" i="3" s="1"/>
  <c r="K909" i="3"/>
  <c r="G909" i="3" a="1"/>
  <c r="G909" i="3" s="1"/>
  <c r="K908" i="3"/>
  <c r="G908" i="3" a="1"/>
  <c r="G908" i="3" s="1"/>
  <c r="K907" i="3"/>
  <c r="G907" i="3" a="1"/>
  <c r="G907" i="3" s="1"/>
  <c r="K906" i="3"/>
  <c r="G906" i="3" a="1"/>
  <c r="G906" i="3" s="1"/>
  <c r="K905" i="3"/>
  <c r="G905" i="3" a="1"/>
  <c r="G905" i="3" s="1"/>
  <c r="K904" i="3"/>
  <c r="G904" i="3" a="1"/>
  <c r="G904" i="3" s="1"/>
  <c r="K903" i="3"/>
  <c r="G903" i="3" a="1"/>
  <c r="G903" i="3" s="1"/>
  <c r="K902" i="3"/>
  <c r="G902" i="3" a="1"/>
  <c r="G902" i="3" s="1"/>
  <c r="K901" i="3"/>
  <c r="G901" i="3" a="1"/>
  <c r="G901" i="3" s="1"/>
  <c r="K900" i="3"/>
  <c r="G900" i="3" a="1"/>
  <c r="G900" i="3" s="1"/>
  <c r="K899" i="3"/>
  <c r="G899" i="3" a="1"/>
  <c r="G899" i="3" s="1"/>
  <c r="K898" i="3"/>
  <c r="G898" i="3" a="1"/>
  <c r="G898" i="3" s="1"/>
  <c r="K897" i="3"/>
  <c r="G897" i="3" a="1"/>
  <c r="G897" i="3" s="1"/>
  <c r="K896" i="3"/>
  <c r="G896" i="3" a="1"/>
  <c r="G896" i="3" s="1"/>
  <c r="K895" i="3"/>
  <c r="G895" i="3" a="1"/>
  <c r="G895" i="3" s="1"/>
  <c r="K894" i="3"/>
  <c r="G894" i="3" a="1"/>
  <c r="G894" i="3" s="1"/>
  <c r="K893" i="3"/>
  <c r="G893" i="3" a="1"/>
  <c r="G893" i="3" s="1"/>
  <c r="K892" i="3"/>
  <c r="G892" i="3" a="1"/>
  <c r="G892" i="3" s="1"/>
  <c r="K891" i="3"/>
  <c r="G891" i="3" a="1"/>
  <c r="G891" i="3" s="1"/>
  <c r="K890" i="3"/>
  <c r="G890" i="3" a="1"/>
  <c r="G890" i="3" s="1"/>
  <c r="K889" i="3"/>
  <c r="G889" i="3" a="1"/>
  <c r="G889" i="3" s="1"/>
  <c r="K888" i="3"/>
  <c r="G888" i="3" a="1"/>
  <c r="G888" i="3" s="1"/>
  <c r="K887" i="3"/>
  <c r="G887" i="3" a="1"/>
  <c r="G887" i="3" s="1"/>
  <c r="K886" i="3"/>
  <c r="G886" i="3" a="1"/>
  <c r="G886" i="3" s="1"/>
  <c r="K885" i="3"/>
  <c r="G885" i="3" a="1"/>
  <c r="G885" i="3" s="1"/>
  <c r="K884" i="3"/>
  <c r="G884" i="3" a="1"/>
  <c r="G884" i="3" s="1"/>
  <c r="K883" i="3"/>
  <c r="G883" i="3" a="1"/>
  <c r="G883" i="3" s="1"/>
  <c r="K882" i="3"/>
  <c r="G882" i="3" a="1"/>
  <c r="G882" i="3" s="1"/>
  <c r="K881" i="3"/>
  <c r="G881" i="3" a="1"/>
  <c r="G881" i="3" s="1"/>
  <c r="K880" i="3"/>
  <c r="G880" i="3" a="1"/>
  <c r="G880" i="3" s="1"/>
  <c r="K879" i="3"/>
  <c r="G879" i="3" a="1"/>
  <c r="G879" i="3" s="1"/>
  <c r="K878" i="3"/>
  <c r="G878" i="3" a="1"/>
  <c r="G878" i="3" s="1"/>
  <c r="K877" i="3"/>
  <c r="G877" i="3" a="1"/>
  <c r="G877" i="3" s="1"/>
  <c r="K876" i="3"/>
  <c r="G876" i="3" a="1"/>
  <c r="G876" i="3" s="1"/>
  <c r="K875" i="3"/>
  <c r="G875" i="3" a="1"/>
  <c r="G875" i="3" s="1"/>
  <c r="K874" i="3"/>
  <c r="G874" i="3" a="1"/>
  <c r="G874" i="3" s="1"/>
  <c r="K873" i="3"/>
  <c r="G873" i="3" a="1"/>
  <c r="G873" i="3" s="1"/>
  <c r="K872" i="3"/>
  <c r="G872" i="3" a="1"/>
  <c r="G872" i="3" s="1"/>
  <c r="K871" i="3"/>
  <c r="G871" i="3" a="1"/>
  <c r="G871" i="3" s="1"/>
  <c r="K870" i="3"/>
  <c r="G870" i="3" a="1"/>
  <c r="G870" i="3" s="1"/>
  <c r="K869" i="3"/>
  <c r="G869" i="3" a="1"/>
  <c r="G869" i="3" s="1"/>
  <c r="K868" i="3"/>
  <c r="G868" i="3" a="1"/>
  <c r="G868" i="3" s="1"/>
  <c r="K867" i="3"/>
  <c r="G867" i="3" a="1"/>
  <c r="G867" i="3" s="1"/>
  <c r="K866" i="3"/>
  <c r="G866" i="3" a="1"/>
  <c r="G866" i="3" s="1"/>
  <c r="K865" i="3"/>
  <c r="G865" i="3" a="1"/>
  <c r="G865" i="3" s="1"/>
  <c r="K864" i="3"/>
  <c r="G864" i="3" a="1"/>
  <c r="G864" i="3" s="1"/>
  <c r="K863" i="3"/>
  <c r="G863" i="3" a="1"/>
  <c r="G863" i="3" s="1"/>
  <c r="K862" i="3"/>
  <c r="G862" i="3" a="1"/>
  <c r="G862" i="3" s="1"/>
  <c r="K861" i="3"/>
  <c r="G861" i="3" a="1"/>
  <c r="G861" i="3" s="1"/>
  <c r="K860" i="3"/>
  <c r="G860" i="3" a="1"/>
  <c r="G860" i="3" s="1"/>
  <c r="K859" i="3"/>
  <c r="G859" i="3" a="1"/>
  <c r="G859" i="3" s="1"/>
  <c r="K858" i="3"/>
  <c r="G858" i="3" a="1"/>
  <c r="G858" i="3" s="1"/>
  <c r="K857" i="3"/>
  <c r="G857" i="3" a="1"/>
  <c r="G857" i="3" s="1"/>
  <c r="K856" i="3"/>
  <c r="G856" i="3" a="1"/>
  <c r="G856" i="3" s="1"/>
  <c r="K855" i="3"/>
  <c r="G855" i="3" a="1"/>
  <c r="G855" i="3" s="1"/>
  <c r="K854" i="3"/>
  <c r="G854" i="3" a="1"/>
  <c r="G854" i="3" s="1"/>
  <c r="K853" i="3"/>
  <c r="G853" i="3" a="1"/>
  <c r="G853" i="3" s="1"/>
  <c r="K852" i="3"/>
  <c r="G852" i="3" a="1"/>
  <c r="G852" i="3" s="1"/>
  <c r="K851" i="3"/>
  <c r="G851" i="3" a="1"/>
  <c r="G851" i="3" s="1"/>
  <c r="K850" i="3"/>
  <c r="G850" i="3" a="1"/>
  <c r="G850" i="3" s="1"/>
  <c r="K849" i="3"/>
  <c r="G849" i="3" a="1"/>
  <c r="G849" i="3" s="1"/>
  <c r="K848" i="3"/>
  <c r="G848" i="3" a="1"/>
  <c r="G848" i="3" s="1"/>
  <c r="K847" i="3"/>
  <c r="G847" i="3" a="1"/>
  <c r="G847" i="3" s="1"/>
  <c r="K846" i="3"/>
  <c r="G846" i="3" a="1"/>
  <c r="G846" i="3" s="1"/>
  <c r="K845" i="3"/>
  <c r="G845" i="3" a="1"/>
  <c r="G845" i="3" s="1"/>
  <c r="K844" i="3"/>
  <c r="G844" i="3" a="1"/>
  <c r="G844" i="3" s="1"/>
  <c r="K843" i="3"/>
  <c r="G843" i="3" a="1"/>
  <c r="G843" i="3" s="1"/>
  <c r="K842" i="3"/>
  <c r="G842" i="3" a="1"/>
  <c r="G842" i="3" s="1"/>
  <c r="K841" i="3"/>
  <c r="G841" i="3" a="1"/>
  <c r="G841" i="3" s="1"/>
  <c r="K840" i="3"/>
  <c r="G840" i="3" a="1"/>
  <c r="G840" i="3" s="1"/>
  <c r="K839" i="3"/>
  <c r="G839" i="3" a="1"/>
  <c r="G839" i="3" s="1"/>
  <c r="K838" i="3"/>
  <c r="G838" i="3" a="1"/>
  <c r="G838" i="3" s="1"/>
  <c r="K837" i="3"/>
  <c r="G837" i="3" a="1"/>
  <c r="G837" i="3" s="1"/>
  <c r="K836" i="3"/>
  <c r="G836" i="3" a="1"/>
  <c r="G836" i="3" s="1"/>
  <c r="K835" i="3"/>
  <c r="G835" i="3" a="1"/>
  <c r="G835" i="3" s="1"/>
  <c r="K834" i="3"/>
  <c r="G834" i="3" a="1"/>
  <c r="G834" i="3" s="1"/>
  <c r="K833" i="3"/>
  <c r="G833" i="3" a="1"/>
  <c r="G833" i="3" s="1"/>
  <c r="K832" i="3"/>
  <c r="G832" i="3" a="1"/>
  <c r="G832" i="3" s="1"/>
  <c r="K831" i="3"/>
  <c r="G831" i="3" a="1"/>
  <c r="G831" i="3" s="1"/>
  <c r="K830" i="3"/>
  <c r="G830" i="3" a="1"/>
  <c r="G830" i="3" s="1"/>
  <c r="K829" i="3"/>
  <c r="G829" i="3" a="1"/>
  <c r="G829" i="3" s="1"/>
  <c r="K828" i="3"/>
  <c r="G828" i="3" a="1"/>
  <c r="G828" i="3" s="1"/>
  <c r="K827" i="3"/>
  <c r="G827" i="3" a="1"/>
  <c r="G827" i="3" s="1"/>
  <c r="K826" i="3"/>
  <c r="G826" i="3" a="1"/>
  <c r="G826" i="3" s="1"/>
  <c r="K825" i="3"/>
  <c r="G825" i="3" a="1"/>
  <c r="G825" i="3" s="1"/>
  <c r="K824" i="3"/>
  <c r="G824" i="3" a="1"/>
  <c r="G824" i="3" s="1"/>
  <c r="K823" i="3"/>
  <c r="G823" i="3" a="1"/>
  <c r="G823" i="3" s="1"/>
  <c r="K822" i="3"/>
  <c r="G822" i="3" a="1"/>
  <c r="G822" i="3" s="1"/>
  <c r="K821" i="3"/>
  <c r="G821" i="3" a="1"/>
  <c r="G821" i="3" s="1"/>
  <c r="K820" i="3"/>
  <c r="G820" i="3" a="1"/>
  <c r="G820" i="3" s="1"/>
  <c r="K819" i="3"/>
  <c r="G819" i="3" a="1"/>
  <c r="G819" i="3" s="1"/>
  <c r="K818" i="3"/>
  <c r="G818" i="3" a="1"/>
  <c r="G818" i="3" s="1"/>
  <c r="K817" i="3"/>
  <c r="G817" i="3" a="1"/>
  <c r="G817" i="3" s="1"/>
  <c r="K816" i="3"/>
  <c r="G816" i="3" a="1"/>
  <c r="G816" i="3" s="1"/>
  <c r="K815" i="3"/>
  <c r="G815" i="3" a="1"/>
  <c r="G815" i="3" s="1"/>
  <c r="K814" i="3"/>
  <c r="G814" i="3" a="1"/>
  <c r="G814" i="3" s="1"/>
  <c r="K813" i="3"/>
  <c r="G813" i="3" a="1"/>
  <c r="G813" i="3" s="1"/>
  <c r="K812" i="3"/>
  <c r="G812" i="3" a="1"/>
  <c r="G812" i="3" s="1"/>
  <c r="K811" i="3"/>
  <c r="G811" i="3" a="1"/>
  <c r="G811" i="3" s="1"/>
  <c r="K810" i="3"/>
  <c r="G810" i="3" a="1"/>
  <c r="G810" i="3" s="1"/>
  <c r="K809" i="3"/>
  <c r="G809" i="3" a="1"/>
  <c r="G809" i="3" s="1"/>
  <c r="K808" i="3"/>
  <c r="G808" i="3" a="1"/>
  <c r="G808" i="3" s="1"/>
  <c r="K807" i="3"/>
  <c r="G807" i="3" a="1"/>
  <c r="G807" i="3" s="1"/>
  <c r="K806" i="3"/>
  <c r="G806" i="3" a="1"/>
  <c r="G806" i="3" s="1"/>
  <c r="K805" i="3"/>
  <c r="G805" i="3" a="1"/>
  <c r="G805" i="3" s="1"/>
  <c r="K804" i="3"/>
  <c r="G804" i="3" a="1"/>
  <c r="G804" i="3" s="1"/>
  <c r="K803" i="3"/>
  <c r="G803" i="3" a="1"/>
  <c r="G803" i="3" s="1"/>
  <c r="K802" i="3"/>
  <c r="G802" i="3" a="1"/>
  <c r="G802" i="3" s="1"/>
  <c r="K801" i="3"/>
  <c r="G801" i="3" a="1"/>
  <c r="G801" i="3" s="1"/>
  <c r="K800" i="3"/>
  <c r="G800" i="3" a="1"/>
  <c r="G800" i="3" s="1"/>
  <c r="K799" i="3"/>
  <c r="G799" i="3" a="1"/>
  <c r="G799" i="3" s="1"/>
  <c r="K798" i="3"/>
  <c r="G798" i="3" a="1"/>
  <c r="G798" i="3" s="1"/>
  <c r="K797" i="3"/>
  <c r="G797" i="3" a="1"/>
  <c r="G797" i="3" s="1"/>
  <c r="K796" i="3"/>
  <c r="G796" i="3" a="1"/>
  <c r="G796" i="3" s="1"/>
  <c r="K795" i="3"/>
  <c r="G795" i="3" a="1"/>
  <c r="G795" i="3" s="1"/>
  <c r="K794" i="3"/>
  <c r="G794" i="3" a="1"/>
  <c r="G794" i="3" s="1"/>
  <c r="K793" i="3"/>
  <c r="G793" i="3" a="1"/>
  <c r="G793" i="3" s="1"/>
  <c r="K792" i="3"/>
  <c r="G792" i="3" a="1"/>
  <c r="G792" i="3" s="1"/>
  <c r="K791" i="3"/>
  <c r="G791" i="3" a="1"/>
  <c r="G791" i="3" s="1"/>
  <c r="K790" i="3"/>
  <c r="G790" i="3" a="1"/>
  <c r="G790" i="3" s="1"/>
  <c r="K789" i="3"/>
  <c r="G789" i="3" a="1"/>
  <c r="G789" i="3" s="1"/>
  <c r="K788" i="3"/>
  <c r="G788" i="3" a="1"/>
  <c r="G788" i="3" s="1"/>
  <c r="K787" i="3"/>
  <c r="G787" i="3" a="1"/>
  <c r="G787" i="3" s="1"/>
  <c r="K786" i="3"/>
  <c r="G786" i="3" a="1"/>
  <c r="G786" i="3" s="1"/>
  <c r="K785" i="3"/>
  <c r="G785" i="3" a="1"/>
  <c r="G785" i="3" s="1"/>
  <c r="K784" i="3"/>
  <c r="G784" i="3" a="1"/>
  <c r="G784" i="3" s="1"/>
  <c r="K783" i="3"/>
  <c r="G783" i="3" a="1"/>
  <c r="G783" i="3" s="1"/>
  <c r="K782" i="3"/>
  <c r="G782" i="3" a="1"/>
  <c r="G782" i="3" s="1"/>
  <c r="K781" i="3"/>
  <c r="G781" i="3" a="1"/>
  <c r="G781" i="3" s="1"/>
  <c r="K780" i="3"/>
  <c r="G780" i="3" a="1"/>
  <c r="G780" i="3" s="1"/>
  <c r="K779" i="3"/>
  <c r="G779" i="3" a="1"/>
  <c r="G779" i="3" s="1"/>
  <c r="K778" i="3"/>
  <c r="G778" i="3" a="1"/>
  <c r="G778" i="3" s="1"/>
  <c r="K777" i="3"/>
  <c r="G777" i="3" a="1"/>
  <c r="G777" i="3" s="1"/>
  <c r="K776" i="3"/>
  <c r="G776" i="3" a="1"/>
  <c r="G776" i="3" s="1"/>
  <c r="K775" i="3"/>
  <c r="G775" i="3" a="1"/>
  <c r="G775" i="3" s="1"/>
  <c r="K774" i="3"/>
  <c r="G774" i="3" a="1"/>
  <c r="G774" i="3" s="1"/>
  <c r="K773" i="3"/>
  <c r="G773" i="3" a="1"/>
  <c r="G773" i="3" s="1"/>
  <c r="K772" i="3"/>
  <c r="G772" i="3" a="1"/>
  <c r="G772" i="3" s="1"/>
  <c r="K771" i="3"/>
  <c r="G771" i="3" a="1"/>
  <c r="G771" i="3" s="1"/>
  <c r="K770" i="3"/>
  <c r="G770" i="3" a="1"/>
  <c r="G770" i="3" s="1"/>
  <c r="K769" i="3"/>
  <c r="G769" i="3" a="1"/>
  <c r="G769" i="3" s="1"/>
  <c r="K768" i="3"/>
  <c r="G768" i="3" a="1"/>
  <c r="G768" i="3" s="1"/>
  <c r="K767" i="3"/>
  <c r="G767" i="3" a="1"/>
  <c r="G767" i="3" s="1"/>
  <c r="K766" i="3"/>
  <c r="G766" i="3" a="1"/>
  <c r="G766" i="3" s="1"/>
  <c r="K765" i="3"/>
  <c r="G765" i="3" a="1"/>
  <c r="G765" i="3" s="1"/>
  <c r="K764" i="3"/>
  <c r="G764" i="3" a="1"/>
  <c r="G764" i="3" s="1"/>
  <c r="K763" i="3"/>
  <c r="G763" i="3" a="1"/>
  <c r="G763" i="3" s="1"/>
  <c r="K762" i="3"/>
  <c r="G762" i="3" a="1"/>
  <c r="G762" i="3" s="1"/>
  <c r="K761" i="3"/>
  <c r="G761" i="3" a="1"/>
  <c r="G761" i="3" s="1"/>
  <c r="K760" i="3"/>
  <c r="G760" i="3" a="1"/>
  <c r="G760" i="3" s="1"/>
  <c r="K759" i="3"/>
  <c r="G759" i="3" a="1"/>
  <c r="G759" i="3" s="1"/>
  <c r="K758" i="3"/>
  <c r="G758" i="3" a="1"/>
  <c r="G758" i="3" s="1"/>
  <c r="K757" i="3"/>
  <c r="G757" i="3" a="1"/>
  <c r="G757" i="3" s="1"/>
  <c r="K756" i="3"/>
  <c r="G756" i="3" a="1"/>
  <c r="G756" i="3" s="1"/>
  <c r="K755" i="3"/>
  <c r="G755" i="3" a="1"/>
  <c r="G755" i="3" s="1"/>
  <c r="K754" i="3"/>
  <c r="G754" i="3" a="1"/>
  <c r="G754" i="3" s="1"/>
  <c r="K753" i="3"/>
  <c r="G753" i="3" a="1"/>
  <c r="G753" i="3" s="1"/>
  <c r="K752" i="3"/>
  <c r="G752" i="3" a="1"/>
  <c r="G752" i="3" s="1"/>
  <c r="K751" i="3"/>
  <c r="G751" i="3" a="1"/>
  <c r="G751" i="3" s="1"/>
  <c r="K750" i="3"/>
  <c r="G750" i="3" a="1"/>
  <c r="G750" i="3" s="1"/>
  <c r="K749" i="3"/>
  <c r="G749" i="3" a="1"/>
  <c r="G749" i="3" s="1"/>
  <c r="K748" i="3"/>
  <c r="G748" i="3" a="1"/>
  <c r="G748" i="3" s="1"/>
  <c r="K747" i="3"/>
  <c r="G747" i="3" a="1"/>
  <c r="G747" i="3" s="1"/>
  <c r="K746" i="3"/>
  <c r="G746" i="3" a="1"/>
  <c r="G746" i="3" s="1"/>
  <c r="K745" i="3"/>
  <c r="G745" i="3" a="1"/>
  <c r="G745" i="3" s="1"/>
  <c r="K744" i="3"/>
  <c r="G744" i="3" a="1"/>
  <c r="G744" i="3" s="1"/>
  <c r="K743" i="3"/>
  <c r="G743" i="3" a="1"/>
  <c r="G743" i="3" s="1"/>
  <c r="K742" i="3"/>
  <c r="G742" i="3" a="1"/>
  <c r="G742" i="3" s="1"/>
  <c r="K741" i="3"/>
  <c r="G741" i="3" a="1"/>
  <c r="G741" i="3" s="1"/>
  <c r="K740" i="3"/>
  <c r="G740" i="3" a="1"/>
  <c r="G740" i="3" s="1"/>
  <c r="K739" i="3"/>
  <c r="G739" i="3" a="1"/>
  <c r="G739" i="3" s="1"/>
  <c r="K738" i="3"/>
  <c r="G738" i="3" a="1"/>
  <c r="G738" i="3" s="1"/>
  <c r="K737" i="3"/>
  <c r="G737" i="3" a="1"/>
  <c r="G737" i="3" s="1"/>
  <c r="K736" i="3"/>
  <c r="G736" i="3" a="1"/>
  <c r="G736" i="3" s="1"/>
  <c r="K735" i="3"/>
  <c r="G735" i="3" a="1"/>
  <c r="G735" i="3" s="1"/>
  <c r="K734" i="3"/>
  <c r="G734" i="3" a="1"/>
  <c r="G734" i="3" s="1"/>
  <c r="K733" i="3"/>
  <c r="G733" i="3" a="1"/>
  <c r="G733" i="3" s="1"/>
  <c r="K732" i="3"/>
  <c r="G732" i="3" a="1"/>
  <c r="G732" i="3" s="1"/>
  <c r="K731" i="3"/>
  <c r="G731" i="3" a="1"/>
  <c r="G731" i="3" s="1"/>
  <c r="K730" i="3"/>
  <c r="G730" i="3" a="1"/>
  <c r="G730" i="3" s="1"/>
  <c r="K729" i="3"/>
  <c r="G729" i="3" a="1"/>
  <c r="G729" i="3" s="1"/>
  <c r="K728" i="3"/>
  <c r="G728" i="3" a="1"/>
  <c r="G728" i="3" s="1"/>
  <c r="K727" i="3"/>
  <c r="G727" i="3" a="1"/>
  <c r="G727" i="3" s="1"/>
  <c r="K726" i="3"/>
  <c r="G726" i="3" a="1"/>
  <c r="G726" i="3" s="1"/>
  <c r="K725" i="3"/>
  <c r="G725" i="3" a="1"/>
  <c r="G725" i="3" s="1"/>
  <c r="K724" i="3"/>
  <c r="G724" i="3" a="1"/>
  <c r="G724" i="3" s="1"/>
  <c r="K723" i="3"/>
  <c r="G723" i="3" a="1"/>
  <c r="G723" i="3" s="1"/>
  <c r="K722" i="3"/>
  <c r="G722" i="3" a="1"/>
  <c r="G722" i="3" s="1"/>
  <c r="K721" i="3"/>
  <c r="G721" i="3" a="1"/>
  <c r="G721" i="3" s="1"/>
  <c r="K720" i="3"/>
  <c r="G720" i="3" a="1"/>
  <c r="G720" i="3" s="1"/>
  <c r="K719" i="3"/>
  <c r="G719" i="3" a="1"/>
  <c r="G719" i="3" s="1"/>
  <c r="K718" i="3"/>
  <c r="G718" i="3" a="1"/>
  <c r="G718" i="3" s="1"/>
  <c r="K717" i="3"/>
  <c r="G717" i="3" a="1"/>
  <c r="G717" i="3" s="1"/>
  <c r="K716" i="3"/>
  <c r="G716" i="3" a="1"/>
  <c r="G716" i="3" s="1"/>
  <c r="K715" i="3"/>
  <c r="G715" i="3" a="1"/>
  <c r="G715" i="3" s="1"/>
  <c r="K714" i="3"/>
  <c r="G714" i="3" a="1"/>
  <c r="G714" i="3" s="1"/>
  <c r="K713" i="3"/>
  <c r="G713" i="3" a="1"/>
  <c r="G713" i="3" s="1"/>
  <c r="K712" i="3"/>
  <c r="G712" i="3" a="1"/>
  <c r="G712" i="3" s="1"/>
  <c r="K711" i="3"/>
  <c r="G711" i="3" a="1"/>
  <c r="G711" i="3" s="1"/>
  <c r="K710" i="3"/>
  <c r="G710" i="3" a="1"/>
  <c r="G710" i="3" s="1"/>
  <c r="K709" i="3"/>
  <c r="G709" i="3" a="1"/>
  <c r="G709" i="3" s="1"/>
  <c r="K708" i="3"/>
  <c r="G708" i="3" a="1"/>
  <c r="G708" i="3" s="1"/>
  <c r="K707" i="3"/>
  <c r="G707" i="3" a="1"/>
  <c r="G707" i="3" s="1"/>
  <c r="K706" i="3"/>
  <c r="G706" i="3" a="1"/>
  <c r="G706" i="3" s="1"/>
  <c r="K705" i="3"/>
  <c r="G705" i="3" a="1"/>
  <c r="G705" i="3" s="1"/>
  <c r="K704" i="3"/>
  <c r="G704" i="3" a="1"/>
  <c r="G704" i="3" s="1"/>
  <c r="K703" i="3"/>
  <c r="G703" i="3" a="1"/>
  <c r="G703" i="3" s="1"/>
  <c r="K702" i="3"/>
  <c r="G702" i="3" a="1"/>
  <c r="G702" i="3" s="1"/>
  <c r="K701" i="3"/>
  <c r="G701" i="3" a="1"/>
  <c r="G701" i="3" s="1"/>
  <c r="K700" i="3"/>
  <c r="G700" i="3" a="1"/>
  <c r="G700" i="3" s="1"/>
  <c r="K699" i="3"/>
  <c r="G699" i="3" a="1"/>
  <c r="G699" i="3" s="1"/>
  <c r="K698" i="3"/>
  <c r="G698" i="3" a="1"/>
  <c r="G698" i="3" s="1"/>
  <c r="K697" i="3"/>
  <c r="G697" i="3" a="1"/>
  <c r="G697" i="3" s="1"/>
  <c r="K696" i="3"/>
  <c r="G696" i="3" a="1"/>
  <c r="G696" i="3" s="1"/>
  <c r="K695" i="3"/>
  <c r="G695" i="3" a="1"/>
  <c r="G695" i="3" s="1"/>
  <c r="K694" i="3"/>
  <c r="G694" i="3" a="1"/>
  <c r="G694" i="3" s="1"/>
  <c r="K693" i="3"/>
  <c r="G693" i="3" a="1"/>
  <c r="G693" i="3" s="1"/>
  <c r="K692" i="3"/>
  <c r="G692" i="3" a="1"/>
  <c r="G692" i="3" s="1"/>
  <c r="K691" i="3"/>
  <c r="G691" i="3" a="1"/>
  <c r="G691" i="3" s="1"/>
  <c r="K690" i="3"/>
  <c r="G690" i="3" a="1"/>
  <c r="G690" i="3" s="1"/>
  <c r="K689" i="3"/>
  <c r="G689" i="3" a="1"/>
  <c r="G689" i="3" s="1"/>
  <c r="K688" i="3"/>
  <c r="G688" i="3" a="1"/>
  <c r="G688" i="3" s="1"/>
  <c r="K687" i="3"/>
  <c r="G687" i="3" a="1"/>
  <c r="G687" i="3" s="1"/>
  <c r="K686" i="3"/>
  <c r="G686" i="3" a="1"/>
  <c r="G686" i="3" s="1"/>
  <c r="K685" i="3"/>
  <c r="G685" i="3" a="1"/>
  <c r="G685" i="3" s="1"/>
  <c r="K684" i="3"/>
  <c r="G684" i="3" a="1"/>
  <c r="G684" i="3" s="1"/>
  <c r="K683" i="3"/>
  <c r="G683" i="3" a="1"/>
  <c r="G683" i="3" s="1"/>
  <c r="K682" i="3"/>
  <c r="G682" i="3" a="1"/>
  <c r="G682" i="3" s="1"/>
  <c r="K681" i="3"/>
  <c r="G681" i="3" a="1"/>
  <c r="G681" i="3" s="1"/>
  <c r="K680" i="3"/>
  <c r="G680" i="3" a="1"/>
  <c r="G680" i="3" s="1"/>
  <c r="K679" i="3"/>
  <c r="G679" i="3" a="1"/>
  <c r="G679" i="3" s="1"/>
  <c r="K678" i="3"/>
  <c r="G678" i="3" a="1"/>
  <c r="G678" i="3" s="1"/>
  <c r="K677" i="3"/>
  <c r="G677" i="3" a="1"/>
  <c r="G677" i="3" s="1"/>
  <c r="K676" i="3"/>
  <c r="G676" i="3" a="1"/>
  <c r="G676" i="3" s="1"/>
  <c r="K675" i="3"/>
  <c r="G675" i="3" a="1"/>
  <c r="G675" i="3" s="1"/>
  <c r="K674" i="3"/>
  <c r="G674" i="3" a="1"/>
  <c r="G674" i="3" s="1"/>
  <c r="K673" i="3"/>
  <c r="G673" i="3" a="1"/>
  <c r="G673" i="3" s="1"/>
  <c r="K672" i="3"/>
  <c r="G672" i="3" a="1"/>
  <c r="G672" i="3" s="1"/>
  <c r="K671" i="3"/>
  <c r="G671" i="3" a="1"/>
  <c r="G671" i="3" s="1"/>
  <c r="K670" i="3"/>
  <c r="G670" i="3" a="1"/>
  <c r="G670" i="3" s="1"/>
  <c r="K669" i="3"/>
  <c r="G669" i="3" a="1"/>
  <c r="G669" i="3" s="1"/>
  <c r="K668" i="3"/>
  <c r="G668" i="3" a="1"/>
  <c r="G668" i="3" s="1"/>
  <c r="K667" i="3"/>
  <c r="G667" i="3" a="1"/>
  <c r="G667" i="3" s="1"/>
  <c r="K666" i="3"/>
  <c r="G666" i="3" a="1"/>
  <c r="G666" i="3" s="1"/>
  <c r="K665" i="3"/>
  <c r="G665" i="3" a="1"/>
  <c r="G665" i="3" s="1"/>
  <c r="K664" i="3"/>
  <c r="G664" i="3" a="1"/>
  <c r="G664" i="3" s="1"/>
  <c r="K663" i="3"/>
  <c r="G663" i="3" a="1"/>
  <c r="G663" i="3" s="1"/>
  <c r="K662" i="3"/>
  <c r="G662" i="3" a="1"/>
  <c r="G662" i="3" s="1"/>
  <c r="K661" i="3"/>
  <c r="G661" i="3" a="1"/>
  <c r="G661" i="3" s="1"/>
  <c r="K660" i="3"/>
  <c r="G660" i="3" a="1"/>
  <c r="G660" i="3" s="1"/>
  <c r="K659" i="3"/>
  <c r="G659" i="3" a="1"/>
  <c r="G659" i="3" s="1"/>
  <c r="K658" i="3"/>
  <c r="G658" i="3" a="1"/>
  <c r="G658" i="3" s="1"/>
  <c r="K657" i="3"/>
  <c r="G657" i="3" a="1"/>
  <c r="G657" i="3" s="1"/>
  <c r="K656" i="3"/>
  <c r="G656" i="3" a="1"/>
  <c r="G656" i="3" s="1"/>
  <c r="K655" i="3"/>
  <c r="G655" i="3" a="1"/>
  <c r="G655" i="3" s="1"/>
  <c r="K654" i="3"/>
  <c r="G654" i="3" a="1"/>
  <c r="G654" i="3" s="1"/>
  <c r="K653" i="3"/>
  <c r="G653" i="3" a="1"/>
  <c r="G653" i="3" s="1"/>
  <c r="K652" i="3"/>
  <c r="G652" i="3" a="1"/>
  <c r="G652" i="3" s="1"/>
  <c r="K651" i="3"/>
  <c r="G651" i="3" a="1"/>
  <c r="G651" i="3" s="1"/>
  <c r="K650" i="3"/>
  <c r="G650" i="3" a="1"/>
  <c r="G650" i="3" s="1"/>
  <c r="K649" i="3"/>
  <c r="G649" i="3" a="1"/>
  <c r="G649" i="3" s="1"/>
  <c r="K648" i="3"/>
  <c r="G648" i="3" a="1"/>
  <c r="G648" i="3" s="1"/>
  <c r="K647" i="3"/>
  <c r="G647" i="3" a="1"/>
  <c r="G647" i="3" s="1"/>
  <c r="K646" i="3"/>
  <c r="G646" i="3" a="1"/>
  <c r="G646" i="3" s="1"/>
  <c r="K645" i="3"/>
  <c r="G645" i="3" a="1"/>
  <c r="G645" i="3" s="1"/>
  <c r="K644" i="3"/>
  <c r="G644" i="3" a="1"/>
  <c r="G644" i="3" s="1"/>
  <c r="K643" i="3"/>
  <c r="G643" i="3" a="1"/>
  <c r="G643" i="3" s="1"/>
  <c r="K642" i="3"/>
  <c r="G642" i="3" a="1"/>
  <c r="G642" i="3" s="1"/>
  <c r="K641" i="3"/>
  <c r="G641" i="3" a="1"/>
  <c r="G641" i="3" s="1"/>
  <c r="K640" i="3"/>
  <c r="G640" i="3" a="1"/>
  <c r="G640" i="3" s="1"/>
  <c r="K639" i="3"/>
  <c r="G639" i="3" a="1"/>
  <c r="G639" i="3" s="1"/>
  <c r="K638" i="3"/>
  <c r="G638" i="3" a="1"/>
  <c r="G638" i="3" s="1"/>
  <c r="K637" i="3"/>
  <c r="G637" i="3" a="1"/>
  <c r="G637" i="3" s="1"/>
  <c r="K636" i="3"/>
  <c r="G636" i="3" a="1"/>
  <c r="G636" i="3" s="1"/>
  <c r="K635" i="3"/>
  <c r="G635" i="3" a="1"/>
  <c r="G635" i="3" s="1"/>
  <c r="K634" i="3"/>
  <c r="G634" i="3" a="1"/>
  <c r="G634" i="3" s="1"/>
  <c r="K633" i="3"/>
  <c r="G633" i="3" a="1"/>
  <c r="G633" i="3" s="1"/>
  <c r="K632" i="3"/>
  <c r="G632" i="3" a="1"/>
  <c r="G632" i="3" s="1"/>
  <c r="K631" i="3"/>
  <c r="G631" i="3" a="1"/>
  <c r="G631" i="3" s="1"/>
  <c r="K630" i="3"/>
  <c r="G630" i="3" a="1"/>
  <c r="G630" i="3" s="1"/>
  <c r="K629" i="3"/>
  <c r="G629" i="3" a="1"/>
  <c r="G629" i="3" s="1"/>
  <c r="K628" i="3"/>
  <c r="G628" i="3" a="1"/>
  <c r="G628" i="3" s="1"/>
  <c r="K627" i="3"/>
  <c r="G627" i="3" a="1"/>
  <c r="G627" i="3" s="1"/>
  <c r="K626" i="3"/>
  <c r="G626" i="3" a="1"/>
  <c r="G626" i="3" s="1"/>
  <c r="K625" i="3"/>
  <c r="G625" i="3" a="1"/>
  <c r="G625" i="3" s="1"/>
  <c r="K624" i="3"/>
  <c r="G624" i="3" a="1"/>
  <c r="G624" i="3" s="1"/>
  <c r="K623" i="3"/>
  <c r="G623" i="3" a="1"/>
  <c r="G623" i="3" s="1"/>
  <c r="K622" i="3"/>
  <c r="G622" i="3" a="1"/>
  <c r="G622" i="3" s="1"/>
  <c r="K621" i="3"/>
  <c r="G621" i="3" a="1"/>
  <c r="G621" i="3" s="1"/>
  <c r="K620" i="3"/>
  <c r="G620" i="3" a="1"/>
  <c r="G620" i="3" s="1"/>
  <c r="K619" i="3"/>
  <c r="G619" i="3" a="1"/>
  <c r="G619" i="3" s="1"/>
  <c r="K618" i="3"/>
  <c r="G618" i="3" a="1"/>
  <c r="G618" i="3" s="1"/>
  <c r="K617" i="3"/>
  <c r="G617" i="3" a="1"/>
  <c r="G617" i="3" s="1"/>
  <c r="K616" i="3"/>
  <c r="G616" i="3" a="1"/>
  <c r="G616" i="3" s="1"/>
  <c r="K615" i="3"/>
  <c r="G615" i="3" a="1"/>
  <c r="G615" i="3" s="1"/>
  <c r="K614" i="3"/>
  <c r="G614" i="3" a="1"/>
  <c r="G614" i="3" s="1"/>
  <c r="K613" i="3"/>
  <c r="G613" i="3" a="1"/>
  <c r="G613" i="3" s="1"/>
  <c r="K612" i="3"/>
  <c r="G612" i="3" a="1"/>
  <c r="G612" i="3" s="1"/>
  <c r="K611" i="3"/>
  <c r="G611" i="3" a="1"/>
  <c r="G611" i="3" s="1"/>
  <c r="K610" i="3"/>
  <c r="G610" i="3" a="1"/>
  <c r="G610" i="3" s="1"/>
  <c r="K609" i="3"/>
  <c r="G609" i="3" a="1"/>
  <c r="G609" i="3" s="1"/>
  <c r="K608" i="3"/>
  <c r="G608" i="3" a="1"/>
  <c r="G608" i="3" s="1"/>
  <c r="K607" i="3"/>
  <c r="G607" i="3" a="1"/>
  <c r="G607" i="3" s="1"/>
  <c r="K606" i="3"/>
  <c r="G606" i="3" a="1"/>
  <c r="G606" i="3" s="1"/>
  <c r="K605" i="3"/>
  <c r="G605" i="3" a="1"/>
  <c r="G605" i="3" s="1"/>
  <c r="K604" i="3"/>
  <c r="G604" i="3" a="1"/>
  <c r="G604" i="3" s="1"/>
  <c r="K603" i="3"/>
  <c r="G603" i="3" a="1"/>
  <c r="G603" i="3" s="1"/>
  <c r="K602" i="3"/>
  <c r="G602" i="3" a="1"/>
  <c r="G602" i="3" s="1"/>
  <c r="K601" i="3"/>
  <c r="G601" i="3" a="1"/>
  <c r="G601" i="3" s="1"/>
  <c r="K600" i="3"/>
  <c r="G600" i="3" a="1"/>
  <c r="G600" i="3" s="1"/>
  <c r="K599" i="3"/>
  <c r="G599" i="3" a="1"/>
  <c r="G599" i="3" s="1"/>
  <c r="K598" i="3"/>
  <c r="G598" i="3" a="1"/>
  <c r="G598" i="3" s="1"/>
  <c r="K597" i="3"/>
  <c r="G597" i="3" a="1"/>
  <c r="G597" i="3" s="1"/>
  <c r="K596" i="3"/>
  <c r="G596" i="3" a="1"/>
  <c r="G596" i="3" s="1"/>
  <c r="K595" i="3"/>
  <c r="G595" i="3" a="1"/>
  <c r="G595" i="3" s="1"/>
  <c r="K594" i="3"/>
  <c r="G594" i="3" a="1"/>
  <c r="G594" i="3" s="1"/>
  <c r="K593" i="3"/>
  <c r="G593" i="3" a="1"/>
  <c r="G593" i="3" s="1"/>
  <c r="K592" i="3"/>
  <c r="G592" i="3" a="1"/>
  <c r="G592" i="3" s="1"/>
  <c r="K591" i="3"/>
  <c r="G591" i="3" a="1"/>
  <c r="G591" i="3" s="1"/>
  <c r="K590" i="3"/>
  <c r="G590" i="3" a="1"/>
  <c r="G590" i="3" s="1"/>
  <c r="K589" i="3"/>
  <c r="G589" i="3" a="1"/>
  <c r="G589" i="3" s="1"/>
  <c r="K588" i="3"/>
  <c r="G588" i="3" a="1"/>
  <c r="G588" i="3" s="1"/>
  <c r="K587" i="3"/>
  <c r="G587" i="3" a="1"/>
  <c r="G587" i="3" s="1"/>
  <c r="K586" i="3"/>
  <c r="G586" i="3" a="1"/>
  <c r="G586" i="3" s="1"/>
  <c r="K585" i="3"/>
  <c r="G585" i="3" a="1"/>
  <c r="G585" i="3" s="1"/>
  <c r="K584" i="3"/>
  <c r="G584" i="3" a="1"/>
  <c r="G584" i="3" s="1"/>
  <c r="K583" i="3"/>
  <c r="G583" i="3" a="1"/>
  <c r="G583" i="3" s="1"/>
  <c r="K582" i="3"/>
  <c r="G582" i="3" a="1"/>
  <c r="G582" i="3" s="1"/>
  <c r="K581" i="3"/>
  <c r="G581" i="3" a="1"/>
  <c r="G581" i="3" s="1"/>
  <c r="K580" i="3"/>
  <c r="G580" i="3" a="1"/>
  <c r="G580" i="3" s="1"/>
  <c r="K579" i="3"/>
  <c r="G579" i="3" a="1"/>
  <c r="G579" i="3" s="1"/>
  <c r="K578" i="3"/>
  <c r="G578" i="3" a="1"/>
  <c r="G578" i="3" s="1"/>
  <c r="K577" i="3"/>
  <c r="G577" i="3" a="1"/>
  <c r="G577" i="3" s="1"/>
  <c r="K576" i="3"/>
  <c r="G576" i="3" a="1"/>
  <c r="G576" i="3" s="1"/>
  <c r="K575" i="3"/>
  <c r="G575" i="3" a="1"/>
  <c r="G575" i="3" s="1"/>
  <c r="K574" i="3"/>
  <c r="G574" i="3" a="1"/>
  <c r="G574" i="3" s="1"/>
  <c r="K573" i="3"/>
  <c r="G573" i="3" a="1"/>
  <c r="G573" i="3" s="1"/>
  <c r="K572" i="3"/>
  <c r="G572" i="3" a="1"/>
  <c r="G572" i="3" s="1"/>
  <c r="K571" i="3"/>
  <c r="G571" i="3" a="1"/>
  <c r="G571" i="3" s="1"/>
  <c r="K570" i="3"/>
  <c r="G570" i="3" a="1"/>
  <c r="G570" i="3" s="1"/>
  <c r="K569" i="3"/>
  <c r="G569" i="3" a="1"/>
  <c r="G569" i="3" s="1"/>
  <c r="K568" i="3"/>
  <c r="G568" i="3" a="1"/>
  <c r="G568" i="3" s="1"/>
  <c r="K567" i="3"/>
  <c r="G567" i="3" a="1"/>
  <c r="G567" i="3" s="1"/>
  <c r="K566" i="3"/>
  <c r="G566" i="3" a="1"/>
  <c r="G566" i="3" s="1"/>
  <c r="K565" i="3"/>
  <c r="G565" i="3" a="1"/>
  <c r="G565" i="3" s="1"/>
  <c r="K564" i="3"/>
  <c r="G564" i="3" a="1"/>
  <c r="G564" i="3" s="1"/>
  <c r="K563" i="3"/>
  <c r="G563" i="3" a="1"/>
  <c r="G563" i="3" s="1"/>
  <c r="K562" i="3"/>
  <c r="G562" i="3" a="1"/>
  <c r="G562" i="3" s="1"/>
  <c r="K561" i="3"/>
  <c r="G561" i="3" a="1"/>
  <c r="G561" i="3" s="1"/>
  <c r="K560" i="3"/>
  <c r="G560" i="3" a="1"/>
  <c r="G560" i="3" s="1"/>
  <c r="K559" i="3"/>
  <c r="G559" i="3" a="1"/>
  <c r="G559" i="3" s="1"/>
  <c r="K558" i="3"/>
  <c r="G558" i="3" a="1"/>
  <c r="G558" i="3" s="1"/>
  <c r="K557" i="3"/>
  <c r="G557" i="3" a="1"/>
  <c r="G557" i="3" s="1"/>
  <c r="K556" i="3"/>
  <c r="G556" i="3" a="1"/>
  <c r="G556" i="3" s="1"/>
  <c r="K555" i="3"/>
  <c r="G555" i="3" a="1"/>
  <c r="G555" i="3" s="1"/>
  <c r="K554" i="3"/>
  <c r="G554" i="3" a="1"/>
  <c r="G554" i="3" s="1"/>
  <c r="K553" i="3"/>
  <c r="G553" i="3" a="1"/>
  <c r="G553" i="3" s="1"/>
  <c r="K552" i="3"/>
  <c r="G552" i="3" a="1"/>
  <c r="G552" i="3" s="1"/>
  <c r="K551" i="3"/>
  <c r="G551" i="3" a="1"/>
  <c r="G551" i="3" s="1"/>
  <c r="K550" i="3"/>
  <c r="G550" i="3" a="1"/>
  <c r="G550" i="3" s="1"/>
  <c r="K549" i="3"/>
  <c r="G549" i="3" a="1"/>
  <c r="G549" i="3" s="1"/>
  <c r="K548" i="3"/>
  <c r="G548" i="3" a="1"/>
  <c r="G548" i="3" s="1"/>
  <c r="K547" i="3"/>
  <c r="G547" i="3" a="1"/>
  <c r="G547" i="3" s="1"/>
  <c r="K546" i="3"/>
  <c r="G546" i="3" a="1"/>
  <c r="G546" i="3" s="1"/>
  <c r="K545" i="3"/>
  <c r="G545" i="3" a="1"/>
  <c r="G545" i="3" s="1"/>
  <c r="K544" i="3"/>
  <c r="G544" i="3" a="1"/>
  <c r="G544" i="3" s="1"/>
  <c r="K543" i="3"/>
  <c r="G543" i="3" a="1"/>
  <c r="G543" i="3" s="1"/>
  <c r="K542" i="3"/>
  <c r="G542" i="3" a="1"/>
  <c r="G542" i="3" s="1"/>
  <c r="K541" i="3"/>
  <c r="G541" i="3" a="1"/>
  <c r="G541" i="3" s="1"/>
  <c r="K540" i="3"/>
  <c r="G540" i="3" a="1"/>
  <c r="G540" i="3" s="1"/>
  <c r="K539" i="3"/>
  <c r="G539" i="3" a="1"/>
  <c r="G539" i="3" s="1"/>
  <c r="K538" i="3"/>
  <c r="G538" i="3" a="1"/>
  <c r="G538" i="3" s="1"/>
  <c r="K537" i="3"/>
  <c r="G537" i="3" a="1"/>
  <c r="G537" i="3" s="1"/>
  <c r="K536" i="3"/>
  <c r="G536" i="3" a="1"/>
  <c r="G536" i="3" s="1"/>
  <c r="K535" i="3"/>
  <c r="G535" i="3" a="1"/>
  <c r="G535" i="3" s="1"/>
  <c r="K534" i="3"/>
  <c r="G534" i="3" a="1"/>
  <c r="G534" i="3" s="1"/>
  <c r="K533" i="3"/>
  <c r="G533" i="3" a="1"/>
  <c r="G533" i="3" s="1"/>
  <c r="K532" i="3"/>
  <c r="G532" i="3" a="1"/>
  <c r="G532" i="3" s="1"/>
  <c r="K531" i="3"/>
  <c r="G531" i="3" a="1"/>
  <c r="G531" i="3" s="1"/>
  <c r="K530" i="3"/>
  <c r="G530" i="3" a="1"/>
  <c r="G530" i="3" s="1"/>
  <c r="K529" i="3"/>
  <c r="G529" i="3" a="1"/>
  <c r="G529" i="3" s="1"/>
  <c r="K528" i="3"/>
  <c r="G528" i="3" a="1"/>
  <c r="G528" i="3" s="1"/>
  <c r="K527" i="3"/>
  <c r="G527" i="3" a="1"/>
  <c r="G527" i="3" s="1"/>
  <c r="K526" i="3"/>
  <c r="G526" i="3" a="1"/>
  <c r="G526" i="3" s="1"/>
  <c r="K525" i="3"/>
  <c r="G525" i="3" a="1"/>
  <c r="G525" i="3" s="1"/>
  <c r="K524" i="3"/>
  <c r="G524" i="3" a="1"/>
  <c r="G524" i="3" s="1"/>
  <c r="K523" i="3"/>
  <c r="G523" i="3" a="1"/>
  <c r="G523" i="3" s="1"/>
  <c r="K522" i="3"/>
  <c r="G522" i="3" a="1"/>
  <c r="G522" i="3" s="1"/>
  <c r="K521" i="3"/>
  <c r="G521" i="3" a="1"/>
  <c r="G521" i="3" s="1"/>
  <c r="K520" i="3"/>
  <c r="G520" i="3" a="1"/>
  <c r="G520" i="3" s="1"/>
  <c r="K519" i="3"/>
  <c r="G519" i="3" a="1"/>
  <c r="G519" i="3" s="1"/>
  <c r="K518" i="3"/>
  <c r="G518" i="3" a="1"/>
  <c r="G518" i="3" s="1"/>
  <c r="K517" i="3"/>
  <c r="G517" i="3" a="1"/>
  <c r="G517" i="3" s="1"/>
  <c r="K516" i="3"/>
  <c r="G516" i="3" a="1"/>
  <c r="G516" i="3" s="1"/>
  <c r="K515" i="3"/>
  <c r="G515" i="3" a="1"/>
  <c r="G515" i="3" s="1"/>
  <c r="K514" i="3"/>
  <c r="G514" i="3" a="1"/>
  <c r="G514" i="3" s="1"/>
  <c r="K513" i="3"/>
  <c r="G513" i="3" a="1"/>
  <c r="G513" i="3" s="1"/>
  <c r="K512" i="3"/>
  <c r="G512" i="3" a="1"/>
  <c r="G512" i="3" s="1"/>
  <c r="K511" i="3"/>
  <c r="G511" i="3" a="1"/>
  <c r="G511" i="3" s="1"/>
  <c r="K510" i="3"/>
  <c r="G510" i="3" a="1"/>
  <c r="G510" i="3" s="1"/>
  <c r="K509" i="3"/>
  <c r="G509" i="3" a="1"/>
  <c r="G509" i="3" s="1"/>
  <c r="K508" i="3"/>
  <c r="G508" i="3" a="1"/>
  <c r="G508" i="3" s="1"/>
  <c r="K507" i="3"/>
  <c r="G507" i="3" a="1"/>
  <c r="G507" i="3" s="1"/>
  <c r="K506" i="3"/>
  <c r="G506" i="3" a="1"/>
  <c r="G506" i="3" s="1"/>
  <c r="K505" i="3"/>
  <c r="G505" i="3" a="1"/>
  <c r="G505" i="3" s="1"/>
  <c r="K504" i="3"/>
  <c r="G504" i="3" a="1"/>
  <c r="G504" i="3" s="1"/>
  <c r="K503" i="3"/>
  <c r="G503" i="3" a="1"/>
  <c r="G503" i="3" s="1"/>
  <c r="K502" i="3"/>
  <c r="G502" i="3" a="1"/>
  <c r="G502" i="3" s="1"/>
  <c r="K501" i="3"/>
  <c r="G501" i="3" a="1"/>
  <c r="G501" i="3" s="1"/>
  <c r="K500" i="3"/>
  <c r="G500" i="3" a="1"/>
  <c r="G500" i="3" s="1"/>
  <c r="K499" i="3"/>
  <c r="G499" i="3" a="1"/>
  <c r="G499" i="3" s="1"/>
  <c r="K498" i="3"/>
  <c r="G498" i="3" a="1"/>
  <c r="G498" i="3" s="1"/>
  <c r="K497" i="3"/>
  <c r="G497" i="3" a="1"/>
  <c r="G497" i="3" s="1"/>
  <c r="K496" i="3"/>
  <c r="G496" i="3" a="1"/>
  <c r="G496" i="3" s="1"/>
  <c r="K495" i="3"/>
  <c r="G495" i="3" a="1"/>
  <c r="G495" i="3" s="1"/>
  <c r="K494" i="3"/>
  <c r="G494" i="3" a="1"/>
  <c r="G494" i="3" s="1"/>
  <c r="K493" i="3"/>
  <c r="G493" i="3" a="1"/>
  <c r="G493" i="3" s="1"/>
  <c r="K492" i="3"/>
  <c r="G492" i="3" a="1"/>
  <c r="G492" i="3" s="1"/>
  <c r="K491" i="3"/>
  <c r="G491" i="3" a="1"/>
  <c r="G491" i="3" s="1"/>
  <c r="K490" i="3"/>
  <c r="G490" i="3" a="1"/>
  <c r="G490" i="3" s="1"/>
  <c r="K489" i="3"/>
  <c r="G489" i="3" a="1"/>
  <c r="G489" i="3" s="1"/>
  <c r="K488" i="3"/>
  <c r="G488" i="3" a="1"/>
  <c r="G488" i="3" s="1"/>
  <c r="K487" i="3"/>
  <c r="G487" i="3" a="1"/>
  <c r="G487" i="3" s="1"/>
  <c r="K486" i="3"/>
  <c r="G486" i="3" a="1"/>
  <c r="G486" i="3" s="1"/>
  <c r="K485" i="3"/>
  <c r="G485" i="3" a="1"/>
  <c r="G485" i="3" s="1"/>
  <c r="K484" i="3"/>
  <c r="G484" i="3" a="1"/>
  <c r="G484" i="3" s="1"/>
  <c r="K483" i="3"/>
  <c r="G483" i="3" a="1"/>
  <c r="G483" i="3" s="1"/>
  <c r="K482" i="3"/>
  <c r="G482" i="3" a="1"/>
  <c r="G482" i="3" s="1"/>
  <c r="K481" i="3"/>
  <c r="G481" i="3" a="1"/>
  <c r="G481" i="3" s="1"/>
  <c r="K480" i="3"/>
  <c r="G480" i="3" a="1"/>
  <c r="G480" i="3" s="1"/>
  <c r="K479" i="3"/>
  <c r="G479" i="3" a="1"/>
  <c r="G479" i="3" s="1"/>
  <c r="K478" i="3"/>
  <c r="G478" i="3" a="1"/>
  <c r="G478" i="3" s="1"/>
  <c r="K477" i="3"/>
  <c r="G477" i="3" a="1"/>
  <c r="G477" i="3" s="1"/>
  <c r="K476" i="3"/>
  <c r="G476" i="3" a="1"/>
  <c r="G476" i="3" s="1"/>
  <c r="K475" i="3"/>
  <c r="G475" i="3" a="1"/>
  <c r="G475" i="3" s="1"/>
  <c r="K474" i="3"/>
  <c r="G474" i="3" a="1"/>
  <c r="G474" i="3" s="1"/>
  <c r="K473" i="3"/>
  <c r="G473" i="3" a="1"/>
  <c r="G473" i="3" s="1"/>
  <c r="K472" i="3"/>
  <c r="G472" i="3" a="1"/>
  <c r="G472" i="3" s="1"/>
  <c r="K471" i="3"/>
  <c r="G471" i="3" a="1"/>
  <c r="G471" i="3" s="1"/>
  <c r="K470" i="3"/>
  <c r="G470" i="3" a="1"/>
  <c r="G470" i="3" s="1"/>
  <c r="K469" i="3"/>
  <c r="G469" i="3" a="1"/>
  <c r="G469" i="3" s="1"/>
  <c r="K468" i="3"/>
  <c r="G468" i="3" a="1"/>
  <c r="G468" i="3" s="1"/>
  <c r="K467" i="3"/>
  <c r="G467" i="3" a="1"/>
  <c r="G467" i="3" s="1"/>
  <c r="K466" i="3"/>
  <c r="G466" i="3" a="1"/>
  <c r="G466" i="3" s="1"/>
  <c r="K465" i="3"/>
  <c r="G465" i="3" a="1"/>
  <c r="G465" i="3" s="1"/>
  <c r="K464" i="3"/>
  <c r="G464" i="3" a="1"/>
  <c r="G464" i="3" s="1"/>
  <c r="K463" i="3"/>
  <c r="G463" i="3" a="1"/>
  <c r="G463" i="3" s="1"/>
  <c r="K462" i="3"/>
  <c r="G462" i="3" a="1"/>
  <c r="G462" i="3" s="1"/>
  <c r="K461" i="3"/>
  <c r="G461" i="3" a="1"/>
  <c r="G461" i="3" s="1"/>
  <c r="K460" i="3"/>
  <c r="G460" i="3" a="1"/>
  <c r="G460" i="3" s="1"/>
  <c r="K459" i="3"/>
  <c r="G459" i="3" a="1"/>
  <c r="G459" i="3" s="1"/>
  <c r="K458" i="3"/>
  <c r="G458" i="3" a="1"/>
  <c r="G458" i="3" s="1"/>
  <c r="K457" i="3"/>
  <c r="G457" i="3" a="1"/>
  <c r="G457" i="3" s="1"/>
  <c r="K456" i="3"/>
  <c r="G456" i="3" a="1"/>
  <c r="G456" i="3" s="1"/>
  <c r="K455" i="3"/>
  <c r="G455" i="3" a="1"/>
  <c r="G455" i="3" s="1"/>
  <c r="K454" i="3"/>
  <c r="G454" i="3" a="1"/>
  <c r="G454" i="3" s="1"/>
  <c r="K453" i="3"/>
  <c r="G453" i="3" a="1"/>
  <c r="G453" i="3" s="1"/>
  <c r="K452" i="3"/>
  <c r="G452" i="3" a="1"/>
  <c r="G452" i="3" s="1"/>
  <c r="K451" i="3"/>
  <c r="G451" i="3" a="1"/>
  <c r="G451" i="3" s="1"/>
  <c r="K450" i="3"/>
  <c r="G450" i="3" a="1"/>
  <c r="G450" i="3" s="1"/>
  <c r="K449" i="3"/>
  <c r="G449" i="3" a="1"/>
  <c r="G449" i="3" s="1"/>
  <c r="K448" i="3"/>
  <c r="G448" i="3" a="1"/>
  <c r="G448" i="3" s="1"/>
  <c r="K447" i="3"/>
  <c r="G447" i="3" a="1"/>
  <c r="G447" i="3" s="1"/>
  <c r="K446" i="3"/>
  <c r="G446" i="3" a="1"/>
  <c r="G446" i="3" s="1"/>
  <c r="K445" i="3"/>
  <c r="G445" i="3" a="1"/>
  <c r="G445" i="3" s="1"/>
  <c r="K444" i="3"/>
  <c r="G444" i="3" a="1"/>
  <c r="G444" i="3" s="1"/>
  <c r="K443" i="3"/>
  <c r="G443" i="3" a="1"/>
  <c r="G443" i="3" s="1"/>
  <c r="K442" i="3"/>
  <c r="G442" i="3" a="1"/>
  <c r="G442" i="3" s="1"/>
  <c r="K441" i="3"/>
  <c r="G441" i="3" a="1"/>
  <c r="G441" i="3" s="1"/>
  <c r="K440" i="3"/>
  <c r="G440" i="3" a="1"/>
  <c r="G440" i="3" s="1"/>
  <c r="K439" i="3"/>
  <c r="G439" i="3" a="1"/>
  <c r="G439" i="3" s="1"/>
  <c r="K438" i="3"/>
  <c r="G438" i="3" a="1"/>
  <c r="G438" i="3" s="1"/>
  <c r="K437" i="3"/>
  <c r="G437" i="3" a="1"/>
  <c r="G437" i="3" s="1"/>
  <c r="K436" i="3"/>
  <c r="G436" i="3" a="1"/>
  <c r="G436" i="3" s="1"/>
  <c r="K435" i="3"/>
  <c r="G435" i="3" a="1"/>
  <c r="G435" i="3" s="1"/>
  <c r="K434" i="3"/>
  <c r="G434" i="3" a="1"/>
  <c r="G434" i="3" s="1"/>
  <c r="K433" i="3"/>
  <c r="G433" i="3" a="1"/>
  <c r="G433" i="3" s="1"/>
  <c r="K432" i="3"/>
  <c r="G432" i="3" a="1"/>
  <c r="G432" i="3" s="1"/>
  <c r="K431" i="3"/>
  <c r="G431" i="3" a="1"/>
  <c r="G431" i="3" s="1"/>
  <c r="K430" i="3"/>
  <c r="G430" i="3" a="1"/>
  <c r="G430" i="3" s="1"/>
  <c r="K429" i="3"/>
  <c r="G429" i="3" a="1"/>
  <c r="G429" i="3" s="1"/>
  <c r="K428" i="3"/>
  <c r="G428" i="3" a="1"/>
  <c r="G428" i="3" s="1"/>
  <c r="K427" i="3"/>
  <c r="G427" i="3" a="1"/>
  <c r="G427" i="3" s="1"/>
  <c r="K426" i="3"/>
  <c r="G426" i="3" a="1"/>
  <c r="G426" i="3" s="1"/>
  <c r="K425" i="3"/>
  <c r="G425" i="3" a="1"/>
  <c r="G425" i="3" s="1"/>
  <c r="K424" i="3"/>
  <c r="G424" i="3" a="1"/>
  <c r="G424" i="3" s="1"/>
  <c r="K423" i="3"/>
  <c r="G423" i="3" a="1"/>
  <c r="G423" i="3" s="1"/>
  <c r="K422" i="3"/>
  <c r="G422" i="3" a="1"/>
  <c r="G422" i="3" s="1"/>
  <c r="K421" i="3"/>
  <c r="G421" i="3" a="1"/>
  <c r="G421" i="3" s="1"/>
  <c r="K420" i="3"/>
  <c r="G420" i="3" a="1"/>
  <c r="G420" i="3" s="1"/>
  <c r="K419" i="3"/>
  <c r="G419" i="3" a="1"/>
  <c r="G419" i="3" s="1"/>
  <c r="K418" i="3"/>
  <c r="G418" i="3" a="1"/>
  <c r="G418" i="3" s="1"/>
  <c r="K417" i="3"/>
  <c r="G417" i="3" a="1"/>
  <c r="G417" i="3" s="1"/>
  <c r="K416" i="3"/>
  <c r="G416" i="3" a="1"/>
  <c r="G416" i="3" s="1"/>
  <c r="K415" i="3"/>
  <c r="G415" i="3" a="1"/>
  <c r="G415" i="3" s="1"/>
  <c r="K414" i="3"/>
  <c r="G414" i="3" a="1"/>
  <c r="G414" i="3" s="1"/>
  <c r="K413" i="3"/>
  <c r="G413" i="3" a="1"/>
  <c r="G413" i="3" s="1"/>
  <c r="K412" i="3"/>
  <c r="G412" i="3" a="1"/>
  <c r="G412" i="3" s="1"/>
  <c r="K411" i="3"/>
  <c r="G411" i="3" a="1"/>
  <c r="G411" i="3" s="1"/>
  <c r="K410" i="3"/>
  <c r="G410" i="3" a="1"/>
  <c r="G410" i="3" s="1"/>
  <c r="K409" i="3"/>
  <c r="G409" i="3" a="1"/>
  <c r="G409" i="3" s="1"/>
  <c r="K408" i="3"/>
  <c r="G408" i="3" a="1"/>
  <c r="G408" i="3" s="1"/>
  <c r="K407" i="3"/>
  <c r="G407" i="3" a="1"/>
  <c r="G407" i="3" s="1"/>
  <c r="K406" i="3"/>
  <c r="G406" i="3" a="1"/>
  <c r="G406" i="3" s="1"/>
  <c r="K405" i="3"/>
  <c r="G405" i="3" a="1"/>
  <c r="G405" i="3" s="1"/>
  <c r="K404" i="3"/>
  <c r="G404" i="3" a="1"/>
  <c r="G404" i="3" s="1"/>
  <c r="K403" i="3"/>
  <c r="G403" i="3" a="1"/>
  <c r="G403" i="3" s="1"/>
  <c r="K402" i="3"/>
  <c r="G402" i="3" a="1"/>
  <c r="G402" i="3" s="1"/>
  <c r="K401" i="3"/>
  <c r="G401" i="3" a="1"/>
  <c r="G401" i="3" s="1"/>
  <c r="K400" i="3"/>
  <c r="G400" i="3" a="1"/>
  <c r="G400" i="3" s="1"/>
  <c r="K399" i="3"/>
  <c r="G399" i="3" a="1"/>
  <c r="G399" i="3" s="1"/>
  <c r="K398" i="3"/>
  <c r="G398" i="3" a="1"/>
  <c r="G398" i="3" s="1"/>
  <c r="K397" i="3"/>
  <c r="G397" i="3" a="1"/>
  <c r="G397" i="3" s="1"/>
  <c r="K396" i="3"/>
  <c r="G396" i="3" a="1"/>
  <c r="G396" i="3" s="1"/>
  <c r="K395" i="3"/>
  <c r="G395" i="3" a="1"/>
  <c r="G395" i="3" s="1"/>
  <c r="K394" i="3"/>
  <c r="G394" i="3" a="1"/>
  <c r="G394" i="3" s="1"/>
  <c r="K393" i="3"/>
  <c r="G393" i="3" a="1"/>
  <c r="G393" i="3" s="1"/>
  <c r="K392" i="3"/>
  <c r="G392" i="3" a="1"/>
  <c r="G392" i="3" s="1"/>
  <c r="K391" i="3"/>
  <c r="G391" i="3" a="1"/>
  <c r="G391" i="3" s="1"/>
  <c r="K390" i="3"/>
  <c r="G390" i="3" a="1"/>
  <c r="G390" i="3" s="1"/>
  <c r="K389" i="3"/>
  <c r="G389" i="3" a="1"/>
  <c r="G389" i="3" s="1"/>
  <c r="K388" i="3"/>
  <c r="G388" i="3" a="1"/>
  <c r="G388" i="3" s="1"/>
  <c r="K387" i="3"/>
  <c r="G387" i="3" a="1"/>
  <c r="G387" i="3" s="1"/>
  <c r="K386" i="3"/>
  <c r="G386" i="3" a="1"/>
  <c r="G386" i="3" s="1"/>
  <c r="K385" i="3"/>
  <c r="G385" i="3" a="1"/>
  <c r="G385" i="3" s="1"/>
  <c r="K384" i="3"/>
  <c r="G384" i="3" a="1"/>
  <c r="G384" i="3" s="1"/>
  <c r="K383" i="3"/>
  <c r="G383" i="3" a="1"/>
  <c r="G383" i="3" s="1"/>
  <c r="K382" i="3"/>
  <c r="G382" i="3" a="1"/>
  <c r="G382" i="3" s="1"/>
  <c r="K381" i="3"/>
  <c r="G381" i="3" a="1"/>
  <c r="G381" i="3" s="1"/>
  <c r="K380" i="3"/>
  <c r="G380" i="3" a="1"/>
  <c r="G380" i="3" s="1"/>
  <c r="K379" i="3"/>
  <c r="G379" i="3" a="1"/>
  <c r="G379" i="3" s="1"/>
  <c r="K378" i="3"/>
  <c r="G378" i="3" a="1"/>
  <c r="G378" i="3" s="1"/>
  <c r="K377" i="3"/>
  <c r="G377" i="3" a="1"/>
  <c r="G377" i="3" s="1"/>
  <c r="K376" i="3"/>
  <c r="G376" i="3" a="1"/>
  <c r="G376" i="3" s="1"/>
  <c r="K375" i="3"/>
  <c r="G375" i="3" a="1"/>
  <c r="G375" i="3" s="1"/>
  <c r="K374" i="3"/>
  <c r="G374" i="3" a="1"/>
  <c r="G374" i="3" s="1"/>
  <c r="K373" i="3"/>
  <c r="G373" i="3" a="1"/>
  <c r="G373" i="3" s="1"/>
  <c r="K372" i="3"/>
  <c r="G372" i="3" a="1"/>
  <c r="G372" i="3" s="1"/>
  <c r="K371" i="3"/>
  <c r="G371" i="3" a="1"/>
  <c r="G371" i="3" s="1"/>
  <c r="K370" i="3"/>
  <c r="G370" i="3" a="1"/>
  <c r="G370" i="3" s="1"/>
  <c r="K369" i="3"/>
  <c r="G369" i="3" a="1"/>
  <c r="G369" i="3" s="1"/>
  <c r="K368" i="3"/>
  <c r="G368" i="3" a="1"/>
  <c r="G368" i="3" s="1"/>
  <c r="K367" i="3"/>
  <c r="G367" i="3" a="1"/>
  <c r="G367" i="3" s="1"/>
  <c r="K366" i="3"/>
  <c r="G366" i="3" a="1"/>
  <c r="G366" i="3" s="1"/>
  <c r="K365" i="3"/>
  <c r="G365" i="3" a="1"/>
  <c r="G365" i="3" s="1"/>
  <c r="K364" i="3"/>
  <c r="G364" i="3" a="1"/>
  <c r="G364" i="3" s="1"/>
  <c r="K363" i="3"/>
  <c r="G363" i="3" a="1"/>
  <c r="G363" i="3" s="1"/>
  <c r="K362" i="3"/>
  <c r="G362" i="3" a="1"/>
  <c r="G362" i="3" s="1"/>
  <c r="K361" i="3"/>
  <c r="G361" i="3" a="1"/>
  <c r="G361" i="3" s="1"/>
  <c r="K360" i="3"/>
  <c r="G360" i="3" a="1"/>
  <c r="G360" i="3" s="1"/>
  <c r="K359" i="3"/>
  <c r="G359" i="3" a="1"/>
  <c r="G359" i="3" s="1"/>
  <c r="K358" i="3"/>
  <c r="G358" i="3" a="1"/>
  <c r="G358" i="3" s="1"/>
  <c r="K357" i="3"/>
  <c r="G357" i="3" a="1"/>
  <c r="G357" i="3" s="1"/>
  <c r="K356" i="3"/>
  <c r="G356" i="3" a="1"/>
  <c r="G356" i="3" s="1"/>
  <c r="K355" i="3"/>
  <c r="G355" i="3" a="1"/>
  <c r="G355" i="3" s="1"/>
  <c r="K354" i="3"/>
  <c r="G354" i="3" a="1"/>
  <c r="G354" i="3" s="1"/>
  <c r="K353" i="3"/>
  <c r="G353" i="3" a="1"/>
  <c r="G353" i="3" s="1"/>
  <c r="K352" i="3"/>
  <c r="G352" i="3" a="1"/>
  <c r="G352" i="3" s="1"/>
  <c r="K351" i="3"/>
  <c r="G351" i="3" a="1"/>
  <c r="G351" i="3" s="1"/>
  <c r="K350" i="3"/>
  <c r="G350" i="3" a="1"/>
  <c r="G350" i="3" s="1"/>
  <c r="K349" i="3"/>
  <c r="G349" i="3" a="1"/>
  <c r="G349" i="3" s="1"/>
  <c r="K348" i="3"/>
  <c r="G348" i="3" a="1"/>
  <c r="G348" i="3" s="1"/>
  <c r="K347" i="3"/>
  <c r="G347" i="3" a="1"/>
  <c r="G347" i="3" s="1"/>
  <c r="K346" i="3"/>
  <c r="G346" i="3" a="1"/>
  <c r="G346" i="3" s="1"/>
  <c r="K345" i="3"/>
  <c r="G345" i="3" a="1"/>
  <c r="G345" i="3" s="1"/>
  <c r="K344" i="3"/>
  <c r="G344" i="3" a="1"/>
  <c r="G344" i="3" s="1"/>
  <c r="K343" i="3"/>
  <c r="G343" i="3" a="1"/>
  <c r="G343" i="3" s="1"/>
  <c r="K342" i="3"/>
  <c r="G342" i="3" a="1"/>
  <c r="G342" i="3" s="1"/>
  <c r="K341" i="3"/>
  <c r="G341" i="3" a="1"/>
  <c r="G341" i="3" s="1"/>
  <c r="K340" i="3"/>
  <c r="G340" i="3" a="1"/>
  <c r="G340" i="3" s="1"/>
  <c r="K339" i="3"/>
  <c r="G339" i="3" a="1"/>
  <c r="G339" i="3" s="1"/>
  <c r="K338" i="3"/>
  <c r="G338" i="3" a="1"/>
  <c r="G338" i="3" s="1"/>
  <c r="K337" i="3"/>
  <c r="G337" i="3" a="1"/>
  <c r="G337" i="3" s="1"/>
  <c r="K336" i="3"/>
  <c r="G336" i="3" a="1"/>
  <c r="G336" i="3" s="1"/>
  <c r="K335" i="3"/>
  <c r="G335" i="3" a="1"/>
  <c r="G335" i="3" s="1"/>
  <c r="K334" i="3"/>
  <c r="G334" i="3" a="1"/>
  <c r="G334" i="3" s="1"/>
  <c r="K333" i="3"/>
  <c r="G333" i="3" a="1"/>
  <c r="G333" i="3" s="1"/>
  <c r="K332" i="3"/>
  <c r="G332" i="3" a="1"/>
  <c r="G332" i="3" s="1"/>
  <c r="K331" i="3"/>
  <c r="G331" i="3" a="1"/>
  <c r="G331" i="3" s="1"/>
  <c r="K330" i="3"/>
  <c r="G330" i="3" a="1"/>
  <c r="G330" i="3" s="1"/>
  <c r="K329" i="3"/>
  <c r="G329" i="3" a="1"/>
  <c r="G329" i="3" s="1"/>
  <c r="K328" i="3"/>
  <c r="G328" i="3" a="1"/>
  <c r="G328" i="3" s="1"/>
  <c r="K327" i="3"/>
  <c r="G327" i="3" a="1"/>
  <c r="G327" i="3" s="1"/>
  <c r="K326" i="3"/>
  <c r="G326" i="3" a="1"/>
  <c r="G326" i="3" s="1"/>
  <c r="K325" i="3"/>
  <c r="G325" i="3" a="1"/>
  <c r="G325" i="3" s="1"/>
  <c r="K324" i="3"/>
  <c r="G324" i="3" a="1"/>
  <c r="G324" i="3" s="1"/>
  <c r="K323" i="3"/>
  <c r="G323" i="3" a="1"/>
  <c r="G323" i="3" s="1"/>
  <c r="K322" i="3"/>
  <c r="G322" i="3" a="1"/>
  <c r="G322" i="3" s="1"/>
  <c r="K321" i="3"/>
  <c r="G321" i="3" a="1"/>
  <c r="G321" i="3" s="1"/>
  <c r="K320" i="3"/>
  <c r="G320" i="3" a="1"/>
  <c r="G320" i="3" s="1"/>
  <c r="K319" i="3"/>
  <c r="G319" i="3" a="1"/>
  <c r="G319" i="3" s="1"/>
  <c r="K318" i="3"/>
  <c r="G318" i="3" a="1"/>
  <c r="G318" i="3" s="1"/>
  <c r="K317" i="3"/>
  <c r="G317" i="3" a="1"/>
  <c r="G317" i="3" s="1"/>
  <c r="K316" i="3"/>
  <c r="G316" i="3" a="1"/>
  <c r="G316" i="3" s="1"/>
  <c r="K315" i="3"/>
  <c r="G315" i="3" a="1"/>
  <c r="G315" i="3" s="1"/>
  <c r="K314" i="3"/>
  <c r="G314" i="3" a="1"/>
  <c r="G314" i="3" s="1"/>
  <c r="K313" i="3"/>
  <c r="G313" i="3" a="1"/>
  <c r="G313" i="3" s="1"/>
  <c r="K312" i="3"/>
  <c r="G312" i="3" a="1"/>
  <c r="G312" i="3" s="1"/>
  <c r="K311" i="3"/>
  <c r="G311" i="3" a="1"/>
  <c r="G311" i="3" s="1"/>
  <c r="K310" i="3"/>
  <c r="G310" i="3" a="1"/>
  <c r="G310" i="3" s="1"/>
  <c r="K309" i="3"/>
  <c r="G309" i="3" a="1"/>
  <c r="G309" i="3" s="1"/>
  <c r="K308" i="3"/>
  <c r="G308" i="3" a="1"/>
  <c r="G308" i="3" s="1"/>
  <c r="K307" i="3"/>
  <c r="G307" i="3" a="1"/>
  <c r="G307" i="3" s="1"/>
  <c r="K306" i="3"/>
  <c r="G306" i="3" a="1"/>
  <c r="G306" i="3" s="1"/>
  <c r="K305" i="3"/>
  <c r="G305" i="3" a="1"/>
  <c r="G305" i="3" s="1"/>
  <c r="K304" i="3"/>
  <c r="G304" i="3" a="1"/>
  <c r="G304" i="3" s="1"/>
  <c r="K303" i="3"/>
  <c r="G303" i="3" a="1"/>
  <c r="G303" i="3" s="1"/>
  <c r="K302" i="3"/>
  <c r="G302" i="3" a="1"/>
  <c r="G302" i="3" s="1"/>
  <c r="K301" i="3"/>
  <c r="G301" i="3" a="1"/>
  <c r="G301" i="3" s="1"/>
  <c r="K300" i="3"/>
  <c r="G300" i="3" a="1"/>
  <c r="G300" i="3" s="1"/>
  <c r="K299" i="3"/>
  <c r="G299" i="3" a="1"/>
  <c r="G299" i="3" s="1"/>
  <c r="K298" i="3"/>
  <c r="G298" i="3" a="1"/>
  <c r="G298" i="3" s="1"/>
  <c r="K297" i="3"/>
  <c r="G297" i="3" a="1"/>
  <c r="G297" i="3" s="1"/>
  <c r="K296" i="3"/>
  <c r="G296" i="3" a="1"/>
  <c r="G296" i="3" s="1"/>
  <c r="K295" i="3"/>
  <c r="G295" i="3" a="1"/>
  <c r="G295" i="3" s="1"/>
  <c r="K294" i="3"/>
  <c r="G294" i="3" a="1"/>
  <c r="G294" i="3" s="1"/>
  <c r="K293" i="3"/>
  <c r="G293" i="3" a="1"/>
  <c r="G293" i="3" s="1"/>
  <c r="K292" i="3"/>
  <c r="G292" i="3" a="1"/>
  <c r="G292" i="3" s="1"/>
  <c r="K291" i="3"/>
  <c r="G291" i="3" a="1"/>
  <c r="G291" i="3" s="1"/>
  <c r="K290" i="3"/>
  <c r="G290" i="3" a="1"/>
  <c r="G290" i="3" s="1"/>
  <c r="K289" i="3"/>
  <c r="G289" i="3" a="1"/>
  <c r="G289" i="3" s="1"/>
  <c r="K288" i="3"/>
  <c r="G288" i="3" a="1"/>
  <c r="G288" i="3" s="1"/>
  <c r="K287" i="3"/>
  <c r="G287" i="3" a="1"/>
  <c r="G287" i="3" s="1"/>
  <c r="K286" i="3"/>
  <c r="G286" i="3" a="1"/>
  <c r="G286" i="3" s="1"/>
  <c r="K285" i="3"/>
  <c r="G285" i="3" a="1"/>
  <c r="G285" i="3" s="1"/>
  <c r="K284" i="3"/>
  <c r="G284" i="3" a="1"/>
  <c r="G284" i="3" s="1"/>
  <c r="K283" i="3"/>
  <c r="G283" i="3" a="1"/>
  <c r="G283" i="3" s="1"/>
  <c r="K282" i="3"/>
  <c r="G282" i="3" a="1"/>
  <c r="G282" i="3" s="1"/>
  <c r="K281" i="3"/>
  <c r="G281" i="3" a="1"/>
  <c r="G281" i="3" s="1"/>
  <c r="K280" i="3"/>
  <c r="G280" i="3" a="1"/>
  <c r="G280" i="3" s="1"/>
  <c r="K279" i="3"/>
  <c r="G279" i="3" a="1"/>
  <c r="G279" i="3" s="1"/>
  <c r="K278" i="3"/>
  <c r="G278" i="3" a="1"/>
  <c r="G278" i="3" s="1"/>
  <c r="K277" i="3"/>
  <c r="G277" i="3" a="1"/>
  <c r="G277" i="3" s="1"/>
  <c r="K276" i="3"/>
  <c r="G276" i="3" a="1"/>
  <c r="G276" i="3" s="1"/>
  <c r="K275" i="3"/>
  <c r="G275" i="3" a="1"/>
  <c r="G275" i="3" s="1"/>
  <c r="K274" i="3"/>
  <c r="G274" i="3" a="1"/>
  <c r="G274" i="3" s="1"/>
  <c r="K273" i="3"/>
  <c r="G273" i="3" a="1"/>
  <c r="G273" i="3" s="1"/>
  <c r="K272" i="3"/>
  <c r="G272" i="3" a="1"/>
  <c r="G272" i="3" s="1"/>
  <c r="K271" i="3"/>
  <c r="G271" i="3" a="1"/>
  <c r="G271" i="3" s="1"/>
  <c r="K270" i="3"/>
  <c r="G270" i="3" a="1"/>
  <c r="G270" i="3" s="1"/>
  <c r="K269" i="3"/>
  <c r="G269" i="3" a="1"/>
  <c r="G269" i="3" s="1"/>
  <c r="K268" i="3"/>
  <c r="G268" i="3" a="1"/>
  <c r="G268" i="3" s="1"/>
  <c r="K267" i="3"/>
  <c r="G267" i="3" a="1"/>
  <c r="G267" i="3" s="1"/>
  <c r="K266" i="3"/>
  <c r="G266" i="3" a="1"/>
  <c r="G266" i="3" s="1"/>
  <c r="K265" i="3"/>
  <c r="G265" i="3" a="1"/>
  <c r="G265" i="3" s="1"/>
  <c r="K264" i="3"/>
  <c r="G264" i="3" a="1"/>
  <c r="G264" i="3" s="1"/>
  <c r="K263" i="3"/>
  <c r="G263" i="3" a="1"/>
  <c r="G263" i="3" s="1"/>
  <c r="K262" i="3"/>
  <c r="G262" i="3" a="1"/>
  <c r="G262" i="3" s="1"/>
  <c r="K261" i="3"/>
  <c r="G261" i="3" a="1"/>
  <c r="G261" i="3" s="1"/>
  <c r="K260" i="3"/>
  <c r="G260" i="3" a="1"/>
  <c r="G260" i="3" s="1"/>
  <c r="K259" i="3"/>
  <c r="G259" i="3" a="1"/>
  <c r="G259" i="3" s="1"/>
  <c r="K258" i="3"/>
  <c r="G258" i="3" a="1"/>
  <c r="G258" i="3" s="1"/>
  <c r="K257" i="3"/>
  <c r="G257" i="3" a="1"/>
  <c r="G257" i="3" s="1"/>
  <c r="K256" i="3"/>
  <c r="G256" i="3" a="1"/>
  <c r="G256" i="3" s="1"/>
  <c r="K255" i="3"/>
  <c r="G255" i="3" a="1"/>
  <c r="G255" i="3" s="1"/>
  <c r="K254" i="3"/>
  <c r="G254" i="3" a="1"/>
  <c r="G254" i="3" s="1"/>
  <c r="K253" i="3"/>
  <c r="G253" i="3" a="1"/>
  <c r="G253" i="3" s="1"/>
  <c r="K252" i="3"/>
  <c r="G252" i="3" a="1"/>
  <c r="G252" i="3" s="1"/>
  <c r="K251" i="3"/>
  <c r="G251" i="3" a="1"/>
  <c r="G251" i="3" s="1"/>
  <c r="K250" i="3"/>
  <c r="G250" i="3" a="1"/>
  <c r="G250" i="3" s="1"/>
  <c r="K249" i="3"/>
  <c r="G249" i="3" a="1"/>
  <c r="G249" i="3" s="1"/>
  <c r="K248" i="3"/>
  <c r="G248" i="3" a="1"/>
  <c r="G248" i="3" s="1"/>
  <c r="K247" i="3"/>
  <c r="G247" i="3" a="1"/>
  <c r="G247" i="3" s="1"/>
  <c r="K246" i="3"/>
  <c r="G246" i="3" a="1"/>
  <c r="G246" i="3" s="1"/>
  <c r="K245" i="3"/>
  <c r="G245" i="3" a="1"/>
  <c r="G245" i="3" s="1"/>
  <c r="K244" i="3"/>
  <c r="G244" i="3" a="1"/>
  <c r="G244" i="3" s="1"/>
  <c r="K243" i="3"/>
  <c r="G243" i="3" a="1"/>
  <c r="G243" i="3" s="1"/>
  <c r="K242" i="3"/>
  <c r="G242" i="3" a="1"/>
  <c r="G242" i="3" s="1"/>
  <c r="K241" i="3"/>
  <c r="G241" i="3" a="1"/>
  <c r="G241" i="3" s="1"/>
  <c r="K240" i="3"/>
  <c r="G240" i="3" a="1"/>
  <c r="G240" i="3" s="1"/>
  <c r="K239" i="3"/>
  <c r="G239" i="3" a="1"/>
  <c r="G239" i="3" s="1"/>
  <c r="K238" i="3"/>
  <c r="G238" i="3" a="1"/>
  <c r="G238" i="3" s="1"/>
  <c r="K237" i="3"/>
  <c r="G237" i="3" a="1"/>
  <c r="G237" i="3" s="1"/>
  <c r="K236" i="3"/>
  <c r="G236" i="3" a="1"/>
  <c r="G236" i="3" s="1"/>
  <c r="K235" i="3"/>
  <c r="G235" i="3" a="1"/>
  <c r="G235" i="3" s="1"/>
  <c r="K234" i="3"/>
  <c r="G234" i="3" a="1"/>
  <c r="G234" i="3" s="1"/>
  <c r="K233" i="3"/>
  <c r="G233" i="3" a="1"/>
  <c r="G233" i="3" s="1"/>
  <c r="K232" i="3"/>
  <c r="G232" i="3" a="1"/>
  <c r="G232" i="3" s="1"/>
  <c r="K231" i="3"/>
  <c r="G231" i="3" a="1"/>
  <c r="G231" i="3" s="1"/>
  <c r="K230" i="3"/>
  <c r="G230" i="3" a="1"/>
  <c r="G230" i="3" s="1"/>
  <c r="K229" i="3"/>
  <c r="G229" i="3" a="1"/>
  <c r="G229" i="3" s="1"/>
  <c r="K228" i="3"/>
  <c r="G228" i="3" a="1"/>
  <c r="G228" i="3" s="1"/>
  <c r="K227" i="3"/>
  <c r="G227" i="3" a="1"/>
  <c r="G227" i="3" s="1"/>
  <c r="K226" i="3"/>
  <c r="G226" i="3" a="1"/>
  <c r="G226" i="3" s="1"/>
  <c r="K225" i="3"/>
  <c r="G225" i="3" a="1"/>
  <c r="G225" i="3" s="1"/>
  <c r="K224" i="3"/>
  <c r="G224" i="3" a="1"/>
  <c r="G224" i="3" s="1"/>
  <c r="K223" i="3"/>
  <c r="G223" i="3" a="1"/>
  <c r="G223" i="3" s="1"/>
  <c r="K222" i="3"/>
  <c r="G222" i="3" a="1"/>
  <c r="G222" i="3" s="1"/>
  <c r="K221" i="3"/>
  <c r="G221" i="3" a="1"/>
  <c r="G221" i="3" s="1"/>
  <c r="K220" i="3"/>
  <c r="G220" i="3" a="1"/>
  <c r="G220" i="3" s="1"/>
  <c r="K219" i="3"/>
  <c r="G219" i="3" a="1"/>
  <c r="G219" i="3" s="1"/>
  <c r="K218" i="3"/>
  <c r="G218" i="3" a="1"/>
  <c r="G218" i="3" s="1"/>
  <c r="K217" i="3"/>
  <c r="G217" i="3" a="1"/>
  <c r="G217" i="3" s="1"/>
  <c r="K216" i="3"/>
  <c r="G216" i="3" a="1"/>
  <c r="G216" i="3" s="1"/>
  <c r="K215" i="3"/>
  <c r="G215" i="3" a="1"/>
  <c r="G215" i="3" s="1"/>
  <c r="K214" i="3"/>
  <c r="G214" i="3" a="1"/>
  <c r="G214" i="3" s="1"/>
  <c r="K213" i="3"/>
  <c r="G213" i="3" a="1"/>
  <c r="G213" i="3" s="1"/>
  <c r="K212" i="3"/>
  <c r="R17" i="3" s="1"/>
  <c r="G212" i="3" a="1"/>
  <c r="G212" i="3" s="1"/>
  <c r="K211" i="3"/>
  <c r="G211" i="3" a="1"/>
  <c r="G211" i="3" s="1"/>
  <c r="K210" i="3"/>
  <c r="G210" i="3" a="1"/>
  <c r="G210" i="3" s="1"/>
  <c r="K209" i="3"/>
  <c r="G209" i="3" a="1"/>
  <c r="G209" i="3" s="1"/>
  <c r="K208" i="3"/>
  <c r="G208" i="3" a="1"/>
  <c r="G208" i="3" s="1"/>
  <c r="K207" i="3"/>
  <c r="G207" i="3" a="1"/>
  <c r="G207" i="3" s="1"/>
  <c r="K206" i="3"/>
  <c r="G206" i="3" a="1"/>
  <c r="G206" i="3" s="1"/>
  <c r="K205" i="3"/>
  <c r="G205" i="3" a="1"/>
  <c r="G205" i="3" s="1"/>
  <c r="K204" i="3"/>
  <c r="G204" i="3" a="1"/>
  <c r="G204" i="3" s="1"/>
  <c r="K203" i="3"/>
  <c r="G203" i="3" a="1"/>
  <c r="G203" i="3" s="1"/>
  <c r="K202" i="3"/>
  <c r="G202" i="3" a="1"/>
  <c r="G202" i="3" s="1"/>
  <c r="K201" i="3"/>
  <c r="G201" i="3" a="1"/>
  <c r="G201" i="3" s="1"/>
  <c r="K200" i="3"/>
  <c r="G200" i="3" a="1"/>
  <c r="G200" i="3" s="1"/>
  <c r="K199" i="3"/>
  <c r="G199" i="3" a="1"/>
  <c r="G199" i="3" s="1"/>
  <c r="K198" i="3"/>
  <c r="G198" i="3" a="1"/>
  <c r="G198" i="3" s="1"/>
  <c r="K197" i="3"/>
  <c r="G197" i="3" a="1"/>
  <c r="G197" i="3" s="1"/>
  <c r="K196" i="3"/>
  <c r="G196" i="3" a="1"/>
  <c r="G196" i="3" s="1"/>
  <c r="K195" i="3"/>
  <c r="G195" i="3" a="1"/>
  <c r="G195" i="3" s="1"/>
  <c r="K194" i="3"/>
  <c r="G194" i="3" a="1"/>
  <c r="G194" i="3" s="1"/>
  <c r="K193" i="3"/>
  <c r="G193" i="3" a="1"/>
  <c r="G193" i="3" s="1"/>
  <c r="K192" i="3"/>
  <c r="G192" i="3" a="1"/>
  <c r="G192" i="3" s="1"/>
  <c r="K191" i="3"/>
  <c r="G191" i="3" a="1"/>
  <c r="G191" i="3" s="1"/>
  <c r="K190" i="3"/>
  <c r="G190" i="3" a="1"/>
  <c r="G190" i="3" s="1"/>
  <c r="K189" i="3"/>
  <c r="G189" i="3" a="1"/>
  <c r="G189" i="3" s="1"/>
  <c r="K188" i="3"/>
  <c r="G188" i="3" a="1"/>
  <c r="G188" i="3" s="1"/>
  <c r="K187" i="3"/>
  <c r="G187" i="3" a="1"/>
  <c r="G187" i="3" s="1"/>
  <c r="K186" i="3"/>
  <c r="G186" i="3" a="1"/>
  <c r="G186" i="3" s="1"/>
  <c r="K185" i="3"/>
  <c r="G185" i="3" a="1"/>
  <c r="G185" i="3" s="1"/>
  <c r="K184" i="3"/>
  <c r="G184" i="3" a="1"/>
  <c r="G184" i="3" s="1"/>
  <c r="K183" i="3"/>
  <c r="G183" i="3" a="1"/>
  <c r="G183" i="3" s="1"/>
  <c r="K182" i="3"/>
  <c r="G182" i="3" a="1"/>
  <c r="G182" i="3" s="1"/>
  <c r="K181" i="3"/>
  <c r="G181" i="3" a="1"/>
  <c r="G181" i="3" s="1"/>
  <c r="K180" i="3"/>
  <c r="G180" i="3" a="1"/>
  <c r="G180" i="3" s="1"/>
  <c r="K179" i="3"/>
  <c r="G179" i="3" a="1"/>
  <c r="G179" i="3" s="1"/>
  <c r="K178" i="3"/>
  <c r="G178" i="3" a="1"/>
  <c r="G178" i="3" s="1"/>
  <c r="K177" i="3"/>
  <c r="G177" i="3" a="1"/>
  <c r="G177" i="3" s="1"/>
  <c r="K176" i="3"/>
  <c r="G176" i="3" a="1"/>
  <c r="G176" i="3" s="1"/>
  <c r="K175" i="3"/>
  <c r="G175" i="3" a="1"/>
  <c r="G175" i="3" s="1"/>
  <c r="K174" i="3"/>
  <c r="G174" i="3" a="1"/>
  <c r="G174" i="3" s="1"/>
  <c r="K173" i="3"/>
  <c r="G173" i="3" a="1"/>
  <c r="G173" i="3" s="1"/>
  <c r="K172" i="3"/>
  <c r="G172" i="3" a="1"/>
  <c r="G172" i="3" s="1"/>
  <c r="K171" i="3"/>
  <c r="G171" i="3" a="1"/>
  <c r="G171" i="3" s="1"/>
  <c r="K170" i="3"/>
  <c r="G170" i="3" a="1"/>
  <c r="G170" i="3" s="1"/>
  <c r="K169" i="3"/>
  <c r="G169" i="3" a="1"/>
  <c r="G169" i="3" s="1"/>
  <c r="K168" i="3"/>
  <c r="G168" i="3" a="1"/>
  <c r="G168" i="3" s="1"/>
  <c r="K167" i="3"/>
  <c r="G167" i="3" a="1"/>
  <c r="G167" i="3" s="1"/>
  <c r="K166" i="3"/>
  <c r="G166" i="3" a="1"/>
  <c r="G166" i="3" s="1"/>
  <c r="K165" i="3"/>
  <c r="G165" i="3" a="1"/>
  <c r="G165" i="3" s="1"/>
  <c r="K164" i="3"/>
  <c r="G164" i="3" a="1"/>
  <c r="G164" i="3" s="1"/>
  <c r="K163" i="3"/>
  <c r="G163" i="3" a="1"/>
  <c r="G163" i="3" s="1"/>
  <c r="K162" i="3"/>
  <c r="G162" i="3" a="1"/>
  <c r="G162" i="3" s="1"/>
  <c r="K161" i="3"/>
  <c r="G161" i="3" a="1"/>
  <c r="G161" i="3" s="1"/>
  <c r="K160" i="3"/>
  <c r="G160" i="3" a="1"/>
  <c r="G160" i="3" s="1"/>
  <c r="K159" i="3"/>
  <c r="G159" i="3" a="1"/>
  <c r="G159" i="3" s="1"/>
  <c r="K158" i="3"/>
  <c r="G158" i="3" a="1"/>
  <c r="G158" i="3" s="1"/>
  <c r="K157" i="3"/>
  <c r="G157" i="3" a="1"/>
  <c r="G157" i="3" s="1"/>
  <c r="K156" i="3"/>
  <c r="G156" i="3" a="1"/>
  <c r="G156" i="3" s="1"/>
  <c r="K155" i="3"/>
  <c r="G155" i="3" a="1"/>
  <c r="G155" i="3" s="1"/>
  <c r="K154" i="3"/>
  <c r="G154" i="3" a="1"/>
  <c r="G154" i="3" s="1"/>
  <c r="K153" i="3"/>
  <c r="G153" i="3" a="1"/>
  <c r="G153" i="3" s="1"/>
  <c r="K152" i="3"/>
  <c r="G152" i="3" a="1"/>
  <c r="G152" i="3" s="1"/>
  <c r="K151" i="3"/>
  <c r="G151" i="3" a="1"/>
  <c r="G151" i="3" s="1"/>
  <c r="K150" i="3"/>
  <c r="G150" i="3" a="1"/>
  <c r="G150" i="3" s="1"/>
  <c r="K149" i="3"/>
  <c r="G149" i="3" a="1"/>
  <c r="G149" i="3" s="1"/>
  <c r="K148" i="3"/>
  <c r="G148" i="3" a="1"/>
  <c r="G148" i="3" s="1"/>
  <c r="K147" i="3"/>
  <c r="G147" i="3" a="1"/>
  <c r="G147" i="3" s="1"/>
  <c r="K146" i="3"/>
  <c r="G146" i="3" a="1"/>
  <c r="G146" i="3" s="1"/>
  <c r="K145" i="3"/>
  <c r="G145" i="3" a="1"/>
  <c r="G145" i="3" s="1"/>
  <c r="K144" i="3"/>
  <c r="G144" i="3" a="1"/>
  <c r="G144" i="3" s="1"/>
  <c r="K143" i="3"/>
  <c r="G143" i="3" a="1"/>
  <c r="G143" i="3" s="1"/>
  <c r="K142" i="3"/>
  <c r="G142" i="3" a="1"/>
  <c r="G142" i="3" s="1"/>
  <c r="K141" i="3"/>
  <c r="G141" i="3" a="1"/>
  <c r="G141" i="3" s="1"/>
  <c r="K140" i="3"/>
  <c r="G140" i="3" a="1"/>
  <c r="G140" i="3" s="1"/>
  <c r="K139" i="3"/>
  <c r="G139" i="3" a="1"/>
  <c r="G139" i="3" s="1"/>
  <c r="K138" i="3"/>
  <c r="G138" i="3" a="1"/>
  <c r="G138" i="3" s="1"/>
  <c r="K137" i="3"/>
  <c r="G137" i="3" a="1"/>
  <c r="G137" i="3" s="1"/>
  <c r="K136" i="3"/>
  <c r="G136" i="3" a="1"/>
  <c r="G136" i="3" s="1"/>
  <c r="K135" i="3"/>
  <c r="G135" i="3" a="1"/>
  <c r="G135" i="3" s="1"/>
  <c r="K134" i="3"/>
  <c r="G134" i="3" a="1"/>
  <c r="G134" i="3" s="1"/>
  <c r="K133" i="3"/>
  <c r="G133" i="3" a="1"/>
  <c r="G133" i="3" s="1"/>
  <c r="K132" i="3"/>
  <c r="G132" i="3" a="1"/>
  <c r="G132" i="3" s="1"/>
  <c r="K131" i="3"/>
  <c r="G131" i="3" a="1"/>
  <c r="G131" i="3" s="1"/>
  <c r="K130" i="3"/>
  <c r="G130" i="3" a="1"/>
  <c r="G130" i="3" s="1"/>
  <c r="K129" i="3"/>
  <c r="G129" i="3" a="1"/>
  <c r="G129" i="3" s="1"/>
  <c r="K128" i="3"/>
  <c r="G128" i="3" a="1"/>
  <c r="G128" i="3" s="1"/>
  <c r="K127" i="3"/>
  <c r="G127" i="3" a="1"/>
  <c r="G127" i="3" s="1"/>
  <c r="K126" i="3"/>
  <c r="G126" i="3" a="1"/>
  <c r="G126" i="3" s="1"/>
  <c r="K125" i="3"/>
  <c r="G125" i="3" a="1"/>
  <c r="G125" i="3" s="1"/>
  <c r="K124" i="3"/>
  <c r="G124" i="3" a="1"/>
  <c r="G124" i="3" s="1"/>
  <c r="K123" i="3"/>
  <c r="G123" i="3" a="1"/>
  <c r="G123" i="3" s="1"/>
  <c r="K122" i="3"/>
  <c r="G122" i="3" a="1"/>
  <c r="G122" i="3" s="1"/>
  <c r="K121" i="3"/>
  <c r="G121" i="3" a="1"/>
  <c r="G121" i="3" s="1"/>
  <c r="K120" i="3"/>
  <c r="G120" i="3" a="1"/>
  <c r="G120" i="3" s="1"/>
  <c r="K119" i="3"/>
  <c r="G119" i="3" a="1"/>
  <c r="G119" i="3" s="1"/>
  <c r="K118" i="3"/>
  <c r="G118" i="3" a="1"/>
  <c r="G118" i="3" s="1"/>
  <c r="K117" i="3"/>
  <c r="G117" i="3" a="1"/>
  <c r="G117" i="3" s="1"/>
  <c r="K116" i="3"/>
  <c r="G116" i="3" a="1"/>
  <c r="G116" i="3" s="1"/>
  <c r="K115" i="3"/>
  <c r="G115" i="3" a="1"/>
  <c r="G115" i="3" s="1"/>
  <c r="K114" i="3"/>
  <c r="G114" i="3" a="1"/>
  <c r="G114" i="3" s="1"/>
  <c r="K113" i="3"/>
  <c r="G113" i="3" a="1"/>
  <c r="G113" i="3" s="1"/>
  <c r="K112" i="3"/>
  <c r="G112" i="3" a="1"/>
  <c r="G112" i="3" s="1"/>
  <c r="K111" i="3"/>
  <c r="G111" i="3" a="1"/>
  <c r="G111" i="3" s="1"/>
  <c r="K110" i="3"/>
  <c r="G110" i="3" a="1"/>
  <c r="G110" i="3" s="1"/>
  <c r="K109" i="3"/>
  <c r="G109" i="3" a="1"/>
  <c r="G109" i="3" s="1"/>
  <c r="K108" i="3"/>
  <c r="G108" i="3" a="1"/>
  <c r="G108" i="3" s="1"/>
  <c r="K107" i="3"/>
  <c r="G107" i="3" a="1"/>
  <c r="G107" i="3" s="1"/>
  <c r="K106" i="3"/>
  <c r="G106" i="3" a="1"/>
  <c r="G106" i="3" s="1"/>
  <c r="K105" i="3"/>
  <c r="G105" i="3" a="1"/>
  <c r="G105" i="3" s="1"/>
  <c r="K104" i="3"/>
  <c r="G104" i="3" a="1"/>
  <c r="G104" i="3" s="1"/>
  <c r="K103" i="3"/>
  <c r="G103" i="3" a="1"/>
  <c r="G103" i="3" s="1"/>
  <c r="K102" i="3"/>
  <c r="G102" i="3" a="1"/>
  <c r="G102" i="3" s="1"/>
  <c r="K101" i="3"/>
  <c r="B10" i="2" s="1"/>
  <c r="G101" i="3" a="1"/>
  <c r="G101" i="3" s="1"/>
  <c r="K100" i="3"/>
  <c r="G100" i="3" a="1"/>
  <c r="G100" i="3" s="1"/>
  <c r="K99" i="3"/>
  <c r="G99" i="3" a="1"/>
  <c r="G99" i="3" s="1"/>
  <c r="K98" i="3"/>
  <c r="G98" i="3" a="1"/>
  <c r="G98" i="3" s="1"/>
  <c r="K97" i="3"/>
  <c r="G97" i="3" a="1"/>
  <c r="G97" i="3" s="1"/>
  <c r="K96" i="3"/>
  <c r="G96" i="3" a="1"/>
  <c r="G96" i="3" s="1"/>
  <c r="K95" i="3"/>
  <c r="G95" i="3" a="1"/>
  <c r="G95" i="3" s="1"/>
  <c r="K94" i="3"/>
  <c r="G94" i="3" a="1"/>
  <c r="G94" i="3" s="1"/>
  <c r="K93" i="3"/>
  <c r="G93" i="3" a="1"/>
  <c r="G93" i="3" s="1"/>
  <c r="K92" i="3"/>
  <c r="G92" i="3" a="1"/>
  <c r="G92" i="3" s="1"/>
  <c r="K91" i="3"/>
  <c r="G91" i="3" a="1"/>
  <c r="G91" i="3" s="1"/>
  <c r="K90" i="3"/>
  <c r="B9" i="2" s="1"/>
  <c r="G90" i="3" a="1"/>
  <c r="G90" i="3" s="1"/>
  <c r="K89" i="3"/>
  <c r="G89" i="3" a="1"/>
  <c r="G89" i="3" s="1"/>
  <c r="K88" i="3"/>
  <c r="G88" i="3" a="1"/>
  <c r="G88" i="3" s="1"/>
  <c r="K87" i="3"/>
  <c r="G87" i="3" a="1"/>
  <c r="G87" i="3" s="1"/>
  <c r="K86" i="3"/>
  <c r="G86" i="3" a="1"/>
  <c r="G86" i="3" s="1"/>
  <c r="K85" i="3"/>
  <c r="G85" i="3" a="1"/>
  <c r="G85" i="3" s="1"/>
  <c r="K84" i="3"/>
  <c r="G84" i="3" a="1"/>
  <c r="G84" i="3" s="1"/>
  <c r="K83" i="3"/>
  <c r="G83" i="3" a="1"/>
  <c r="G83" i="3" s="1"/>
  <c r="K82" i="3"/>
  <c r="G82" i="3" a="1"/>
  <c r="G82" i="3" s="1"/>
  <c r="K81" i="3"/>
  <c r="G81" i="3" a="1"/>
  <c r="G81" i="3" s="1"/>
  <c r="K80" i="3"/>
  <c r="G80" i="3" a="1"/>
  <c r="G80" i="3" s="1"/>
  <c r="K79" i="3"/>
  <c r="G79" i="3" a="1"/>
  <c r="G79" i="3" s="1"/>
  <c r="K78" i="3"/>
  <c r="G78" i="3" a="1"/>
  <c r="G78" i="3" s="1"/>
  <c r="K77" i="3"/>
  <c r="G77" i="3" a="1"/>
  <c r="G77" i="3" s="1"/>
  <c r="K76" i="3"/>
  <c r="G76" i="3" a="1"/>
  <c r="G76" i="3" s="1"/>
  <c r="K75" i="3"/>
  <c r="G75" i="3" a="1"/>
  <c r="G75" i="3" s="1"/>
  <c r="K74" i="3"/>
  <c r="G74" i="3" a="1"/>
  <c r="G74" i="3" s="1"/>
  <c r="K73" i="3"/>
  <c r="G73" i="3" a="1"/>
  <c r="G73" i="3" s="1"/>
  <c r="K72" i="3"/>
  <c r="G72" i="3" a="1"/>
  <c r="G72" i="3" s="1"/>
  <c r="K71" i="3"/>
  <c r="G71" i="3" a="1"/>
  <c r="G71" i="3" s="1"/>
  <c r="K70" i="3"/>
  <c r="G70" i="3" a="1"/>
  <c r="G70" i="3" s="1"/>
  <c r="K69" i="3"/>
  <c r="G69" i="3" a="1"/>
  <c r="G69" i="3" s="1"/>
  <c r="K68" i="3"/>
  <c r="B8" i="2" s="1"/>
  <c r="G68" i="3" a="1"/>
  <c r="G68" i="3" s="1"/>
  <c r="K67" i="3"/>
  <c r="G67" i="3" a="1"/>
  <c r="G67" i="3" s="1"/>
  <c r="K66" i="3"/>
  <c r="G66" i="3" a="1"/>
  <c r="G66" i="3" s="1"/>
  <c r="K65" i="3"/>
  <c r="G65" i="3" a="1"/>
  <c r="G65" i="3" s="1"/>
  <c r="K64" i="3"/>
  <c r="G64" i="3" a="1"/>
  <c r="G64" i="3" s="1"/>
  <c r="K63" i="3"/>
  <c r="G63" i="3" a="1"/>
  <c r="G63" i="3" s="1"/>
  <c r="K62" i="3"/>
  <c r="G62" i="3" a="1"/>
  <c r="G62" i="3" s="1"/>
  <c r="K61" i="3"/>
  <c r="G61" i="3" a="1"/>
  <c r="G61" i="3" s="1"/>
  <c r="K60" i="3"/>
  <c r="G60" i="3" a="1"/>
  <c r="G60" i="3" s="1"/>
  <c r="K59" i="3"/>
  <c r="G59" i="3" a="1"/>
  <c r="G59" i="3" s="1"/>
  <c r="K58" i="3"/>
  <c r="G58" i="3" a="1"/>
  <c r="G58" i="3" s="1"/>
  <c r="K57" i="3"/>
  <c r="G57" i="3" a="1"/>
  <c r="G57" i="3" s="1"/>
  <c r="K56" i="3"/>
  <c r="B7" i="2" s="1"/>
  <c r="G56" i="3" a="1"/>
  <c r="G56" i="3" s="1"/>
  <c r="K55" i="3"/>
  <c r="B6" i="2" s="1"/>
  <c r="G55" i="3" a="1"/>
  <c r="G55" i="3" s="1"/>
  <c r="K54" i="3"/>
  <c r="G54" i="3" a="1"/>
  <c r="G54" i="3" s="1"/>
  <c r="K53" i="3"/>
  <c r="G53" i="3" a="1"/>
  <c r="G53" i="3" s="1"/>
  <c r="K52" i="3"/>
  <c r="G52" i="3" a="1"/>
  <c r="G52" i="3" s="1"/>
  <c r="K51" i="3"/>
  <c r="G51" i="3" a="1"/>
  <c r="G51" i="3" s="1"/>
  <c r="K50" i="3"/>
  <c r="G50" i="3" a="1"/>
  <c r="G50" i="3" s="1"/>
  <c r="K49" i="3"/>
  <c r="G49" i="3" a="1"/>
  <c r="G49" i="3" s="1"/>
  <c r="K48" i="3"/>
  <c r="G48" i="3" a="1"/>
  <c r="G48" i="3" s="1"/>
  <c r="K47" i="3"/>
  <c r="G47" i="3" a="1"/>
  <c r="G47" i="3" s="1"/>
  <c r="K46" i="3"/>
  <c r="G46" i="3" a="1"/>
  <c r="G46" i="3" s="1"/>
  <c r="K45" i="3"/>
  <c r="G45" i="3" a="1"/>
  <c r="G45" i="3" s="1"/>
  <c r="K44" i="3"/>
  <c r="G44" i="3" a="1"/>
  <c r="G44" i="3" s="1"/>
  <c r="K43" i="3"/>
  <c r="G43" i="3" a="1"/>
  <c r="G43" i="3" s="1"/>
  <c r="K42" i="3"/>
  <c r="G42" i="3" a="1"/>
  <c r="G42" i="3" s="1"/>
  <c r="K41" i="3"/>
  <c r="G41" i="3" a="1"/>
  <c r="G41" i="3" s="1"/>
  <c r="K40" i="3"/>
  <c r="G40" i="3" a="1"/>
  <c r="G40" i="3" s="1"/>
  <c r="K39" i="3"/>
  <c r="G39" i="3" a="1"/>
  <c r="G39" i="3" s="1"/>
  <c r="K38" i="3"/>
  <c r="G38" i="3" a="1"/>
  <c r="G38" i="3" s="1"/>
  <c r="K37" i="3"/>
  <c r="G37" i="3" a="1"/>
  <c r="G37" i="3" s="1"/>
  <c r="K36" i="3"/>
  <c r="G36" i="3" a="1"/>
  <c r="G36" i="3" s="1"/>
  <c r="K35" i="3"/>
  <c r="G35" i="3" a="1"/>
  <c r="G35" i="3" s="1"/>
  <c r="K34" i="3"/>
  <c r="G34" i="3" a="1"/>
  <c r="G34" i="3" s="1"/>
  <c r="K33" i="3"/>
  <c r="G33" i="3" a="1"/>
  <c r="G33" i="3" s="1"/>
  <c r="K32" i="3"/>
  <c r="G32" i="3" a="1"/>
  <c r="G32" i="3" s="1"/>
  <c r="K31" i="3"/>
  <c r="B5" i="2" s="1"/>
  <c r="G31" i="3" a="1"/>
  <c r="G31" i="3" s="1"/>
  <c r="K30" i="3"/>
  <c r="G30" i="3" a="1"/>
  <c r="G30" i="3" s="1"/>
  <c r="K29" i="3"/>
  <c r="G29" i="3" a="1"/>
  <c r="G29" i="3" s="1"/>
  <c r="K28" i="3"/>
  <c r="G28" i="3" a="1"/>
  <c r="G28" i="3" s="1"/>
  <c r="K27" i="3"/>
  <c r="G27" i="3" a="1"/>
  <c r="G27" i="3" s="1"/>
  <c r="K26" i="3"/>
  <c r="B4" i="2" s="1"/>
  <c r="G26" i="3" a="1"/>
  <c r="G26" i="3" s="1"/>
  <c r="K25" i="3"/>
  <c r="G25" i="3" a="1"/>
  <c r="G25" i="3" s="1"/>
  <c r="K24" i="3"/>
  <c r="G24" i="3" a="1"/>
  <c r="G24" i="3" s="1"/>
  <c r="K23" i="3"/>
  <c r="G23" i="3" a="1"/>
  <c r="G23" i="3" s="1"/>
  <c r="K22" i="3"/>
  <c r="G22" i="3" a="1"/>
  <c r="G22" i="3" s="1"/>
  <c r="K21" i="3"/>
  <c r="G21" i="3" a="1"/>
  <c r="G21" i="3" s="1"/>
  <c r="K20" i="3"/>
  <c r="G20" i="3" a="1"/>
  <c r="G20" i="3" s="1"/>
  <c r="K19" i="3"/>
  <c r="G19" i="3" a="1"/>
  <c r="G19" i="3" s="1"/>
  <c r="K18" i="3"/>
  <c r="G18" i="3" a="1"/>
  <c r="G18" i="3" s="1"/>
  <c r="K17" i="3"/>
  <c r="G17" i="3" a="1"/>
  <c r="G17" i="3" s="1"/>
  <c r="K16" i="3"/>
  <c r="B3" i="2" s="1"/>
  <c r="G16" i="3" a="1"/>
  <c r="G16" i="3" s="1"/>
  <c r="K15" i="3"/>
  <c r="G15" i="3" a="1"/>
  <c r="G15" i="3" s="1"/>
  <c r="K14" i="3"/>
  <c r="G14" i="3" a="1"/>
  <c r="G14" i="3" s="1"/>
  <c r="K13" i="3"/>
  <c r="G13" i="3" a="1"/>
  <c r="G13" i="3" s="1"/>
  <c r="K12" i="3"/>
  <c r="G12" i="3" a="1"/>
  <c r="G12" i="3" s="1"/>
  <c r="K11" i="3"/>
  <c r="B2" i="2" s="1"/>
  <c r="D2" i="2" s="1"/>
  <c r="G11" i="3" a="1"/>
  <c r="G11" i="3" s="1"/>
  <c r="K10" i="3"/>
  <c r="G10" i="3" a="1"/>
  <c r="G10" i="3" s="1"/>
  <c r="K9" i="3"/>
  <c r="G9" i="3" a="1"/>
  <c r="G9" i="3" s="1"/>
  <c r="K8" i="3"/>
  <c r="G8" i="3" a="1"/>
  <c r="G8" i="3" s="1"/>
  <c r="K7" i="3"/>
  <c r="G7" i="3" a="1"/>
  <c r="G7" i="3" s="1"/>
  <c r="K6" i="3"/>
  <c r="G6" i="3" a="1"/>
  <c r="G6" i="3" s="1"/>
  <c r="K5" i="3"/>
  <c r="G5" i="3" a="1"/>
  <c r="G5" i="3" s="1"/>
  <c r="K4" i="3"/>
  <c r="G4" i="3" a="1"/>
  <c r="G4" i="3" s="1"/>
  <c r="K3" i="3"/>
  <c r="G3" i="3" a="1"/>
  <c r="G3" i="3" s="1"/>
  <c r="K2" i="3"/>
  <c r="G2" i="3" a="1"/>
  <c r="G2" i="3" s="1"/>
  <c r="P15" i="3" l="1"/>
  <c r="P14" i="3"/>
  <c r="P16" i="3"/>
  <c r="P17" i="3"/>
  <c r="N2" i="3" a="1"/>
  <c r="N2" i="3" s="1"/>
  <c r="N1001" i="3" a="1"/>
  <c r="N1001" i="3" s="1"/>
  <c r="N1000" i="3" a="1"/>
  <c r="N1000" i="3" s="1"/>
  <c r="N999" i="3" a="1"/>
  <c r="N999" i="3" s="1"/>
  <c r="N998" i="3" a="1"/>
  <c r="N998" i="3" s="1"/>
  <c r="N997" i="3" a="1"/>
  <c r="N997" i="3" s="1"/>
  <c r="N996" i="3" a="1"/>
  <c r="N996" i="3" s="1"/>
  <c r="N995" i="3" a="1"/>
  <c r="N995" i="3" s="1"/>
  <c r="N994" i="3" a="1"/>
  <c r="N994" i="3" s="1"/>
  <c r="N993" i="3" a="1"/>
  <c r="N993" i="3" s="1"/>
  <c r="N992" i="3" a="1"/>
  <c r="N992" i="3" s="1"/>
  <c r="N991" i="3" a="1"/>
  <c r="N991" i="3" s="1"/>
  <c r="N990" i="3" a="1"/>
  <c r="N990" i="3" s="1"/>
  <c r="N989" i="3" a="1"/>
  <c r="N989" i="3" s="1"/>
  <c r="N988" i="3" a="1"/>
  <c r="N988" i="3" s="1"/>
  <c r="N987" i="3" a="1"/>
  <c r="N987" i="3" s="1"/>
  <c r="N986" i="3" a="1"/>
  <c r="N986" i="3" s="1"/>
  <c r="N985" i="3" a="1"/>
  <c r="N985" i="3" s="1"/>
  <c r="N984" i="3" a="1"/>
  <c r="N984" i="3" s="1"/>
  <c r="N983" i="3" a="1"/>
  <c r="N983" i="3" s="1"/>
  <c r="N982" i="3" a="1"/>
  <c r="N982" i="3" s="1"/>
  <c r="N981" i="3" a="1"/>
  <c r="N981" i="3" s="1"/>
  <c r="N980" i="3" a="1"/>
  <c r="N980" i="3" s="1"/>
  <c r="N979" i="3" a="1"/>
  <c r="N979" i="3" s="1"/>
  <c r="N978" i="3" a="1"/>
  <c r="N978" i="3" s="1"/>
  <c r="N977" i="3" a="1"/>
  <c r="N977" i="3" s="1"/>
  <c r="N976" i="3" a="1"/>
  <c r="N976" i="3" s="1"/>
  <c r="N975" i="3" a="1"/>
  <c r="N975" i="3" s="1"/>
  <c r="N974" i="3" a="1"/>
  <c r="N974" i="3" s="1"/>
  <c r="N973" i="3" a="1"/>
  <c r="N973" i="3" s="1"/>
  <c r="N972" i="3" a="1"/>
  <c r="N972" i="3" s="1"/>
  <c r="N971" i="3" a="1"/>
  <c r="N971" i="3" s="1"/>
  <c r="N970" i="3" a="1"/>
  <c r="N970" i="3" s="1"/>
  <c r="N969" i="3" a="1"/>
  <c r="N969" i="3" s="1"/>
  <c r="N968" i="3" a="1"/>
  <c r="N968" i="3" s="1"/>
  <c r="N967" i="3" a="1"/>
  <c r="N967" i="3" s="1"/>
  <c r="N966" i="3" a="1"/>
  <c r="N966" i="3" s="1"/>
  <c r="N965" i="3" a="1"/>
  <c r="N965" i="3" s="1"/>
  <c r="N964" i="3" a="1"/>
  <c r="N964" i="3" s="1"/>
  <c r="N963" i="3" a="1"/>
  <c r="N963" i="3" s="1"/>
  <c r="N962" i="3" a="1"/>
  <c r="N962" i="3" s="1"/>
  <c r="N961" i="3" a="1"/>
  <c r="N961" i="3" s="1"/>
  <c r="N960" i="3" a="1"/>
  <c r="N960" i="3" s="1"/>
  <c r="N959" i="3" a="1"/>
  <c r="N959" i="3" s="1"/>
  <c r="N958" i="3" a="1"/>
  <c r="N958" i="3" s="1"/>
  <c r="N957" i="3" a="1"/>
  <c r="N957" i="3" s="1"/>
  <c r="N956" i="3" a="1"/>
  <c r="N956" i="3" s="1"/>
  <c r="N955" i="3" a="1"/>
  <c r="N955" i="3" s="1"/>
  <c r="N954" i="3" a="1"/>
  <c r="N954" i="3" s="1"/>
  <c r="N953" i="3" a="1"/>
  <c r="N953" i="3" s="1"/>
  <c r="N952" i="3" a="1"/>
  <c r="N952" i="3" s="1"/>
  <c r="N951" i="3" a="1"/>
  <c r="N951" i="3" s="1"/>
  <c r="N950" i="3" a="1"/>
  <c r="N950" i="3" s="1"/>
  <c r="N949" i="3" a="1"/>
  <c r="N949" i="3" s="1"/>
  <c r="N948" i="3" a="1"/>
  <c r="N948" i="3" s="1"/>
  <c r="N947" i="3" a="1"/>
  <c r="N947" i="3" s="1"/>
  <c r="N946" i="3" a="1"/>
  <c r="N946" i="3" s="1"/>
  <c r="N945" i="3" a="1"/>
  <c r="N945" i="3" s="1"/>
  <c r="N944" i="3" a="1"/>
  <c r="N944" i="3" s="1"/>
  <c r="N943" i="3" a="1"/>
  <c r="N943" i="3" s="1"/>
  <c r="N942" i="3" a="1"/>
  <c r="N942" i="3" s="1"/>
  <c r="N941" i="3" a="1"/>
  <c r="N941" i="3" s="1"/>
  <c r="N940" i="3" a="1"/>
  <c r="N940" i="3" s="1"/>
  <c r="N939" i="3" a="1"/>
  <c r="N939" i="3" s="1"/>
  <c r="N938" i="3" a="1"/>
  <c r="N938" i="3" s="1"/>
  <c r="N937" i="3" a="1"/>
  <c r="N937" i="3" s="1"/>
  <c r="N936" i="3" a="1"/>
  <c r="N936" i="3" s="1"/>
  <c r="N935" i="3" a="1"/>
  <c r="N935" i="3" s="1"/>
  <c r="N934" i="3" a="1"/>
  <c r="N934" i="3" s="1"/>
  <c r="N933" i="3" a="1"/>
  <c r="N933" i="3" s="1"/>
  <c r="N932" i="3" a="1"/>
  <c r="N932" i="3" s="1"/>
  <c r="N931" i="3" a="1"/>
  <c r="N931" i="3" s="1"/>
  <c r="N930" i="3" a="1"/>
  <c r="N930" i="3" s="1"/>
  <c r="N929" i="3" a="1"/>
  <c r="N929" i="3" s="1"/>
  <c r="N928" i="3" a="1"/>
  <c r="N928" i="3" s="1"/>
  <c r="N927" i="3" a="1"/>
  <c r="N927" i="3" s="1"/>
  <c r="N926" i="3" a="1"/>
  <c r="N926" i="3" s="1"/>
  <c r="N925" i="3" a="1"/>
  <c r="N925" i="3" s="1"/>
  <c r="N924" i="3" a="1"/>
  <c r="N924" i="3" s="1"/>
  <c r="N923" i="3" a="1"/>
  <c r="N923" i="3" s="1"/>
  <c r="N922" i="3" a="1"/>
  <c r="N922" i="3" s="1"/>
  <c r="N921" i="3" a="1"/>
  <c r="N921" i="3" s="1"/>
  <c r="N920" i="3" a="1"/>
  <c r="N920" i="3" s="1"/>
  <c r="N919" i="3" a="1"/>
  <c r="N919" i="3" s="1"/>
  <c r="N918" i="3" a="1"/>
  <c r="N918" i="3" s="1"/>
  <c r="N917" i="3" a="1"/>
  <c r="N917" i="3" s="1"/>
  <c r="N916" i="3" a="1"/>
  <c r="N916" i="3" s="1"/>
  <c r="N915" i="3" a="1"/>
  <c r="N915" i="3" s="1"/>
  <c r="N914" i="3" a="1"/>
  <c r="N914" i="3" s="1"/>
  <c r="N913" i="3" a="1"/>
  <c r="N913" i="3" s="1"/>
  <c r="N912" i="3" a="1"/>
  <c r="N912" i="3" s="1"/>
  <c r="N911" i="3" a="1"/>
  <c r="N911" i="3" s="1"/>
  <c r="N910" i="3" a="1"/>
  <c r="N910" i="3" s="1"/>
  <c r="N909" i="3" a="1"/>
  <c r="N909" i="3" s="1"/>
  <c r="N908" i="3" a="1"/>
  <c r="N908" i="3" s="1"/>
  <c r="N907" i="3" a="1"/>
  <c r="N907" i="3" s="1"/>
  <c r="N906" i="3" a="1"/>
  <c r="N906" i="3" s="1"/>
  <c r="N905" i="3" a="1"/>
  <c r="N905" i="3" s="1"/>
  <c r="N904" i="3" a="1"/>
  <c r="N904" i="3" s="1"/>
  <c r="N903" i="3" a="1"/>
  <c r="N903" i="3" s="1"/>
  <c r="N902" i="3" a="1"/>
  <c r="N902" i="3" s="1"/>
  <c r="N901" i="3" a="1"/>
  <c r="N901" i="3" s="1"/>
  <c r="N900" i="3" a="1"/>
  <c r="N900" i="3" s="1"/>
  <c r="N899" i="3" a="1"/>
  <c r="N899" i="3" s="1"/>
  <c r="N898" i="3" a="1"/>
  <c r="N898" i="3" s="1"/>
  <c r="N897" i="3" a="1"/>
  <c r="N897" i="3" s="1"/>
  <c r="N896" i="3" a="1"/>
  <c r="N896" i="3" s="1"/>
  <c r="N895" i="3" a="1"/>
  <c r="N895" i="3" s="1"/>
  <c r="N894" i="3" a="1"/>
  <c r="N894" i="3" s="1"/>
  <c r="N893" i="3" a="1"/>
  <c r="N893" i="3" s="1"/>
  <c r="N892" i="3" a="1"/>
  <c r="N892" i="3" s="1"/>
  <c r="N891" i="3" a="1"/>
  <c r="N891" i="3" s="1"/>
  <c r="N890" i="3" a="1"/>
  <c r="N890" i="3" s="1"/>
  <c r="N889" i="3" a="1"/>
  <c r="N889" i="3" s="1"/>
  <c r="N888" i="3" a="1"/>
  <c r="N888" i="3" s="1"/>
  <c r="N887" i="3" a="1"/>
  <c r="N887" i="3" s="1"/>
  <c r="N886" i="3" a="1"/>
  <c r="N886" i="3" s="1"/>
  <c r="N885" i="3" a="1"/>
  <c r="N885" i="3" s="1"/>
  <c r="N884" i="3" a="1"/>
  <c r="N884" i="3" s="1"/>
  <c r="N883" i="3" a="1"/>
  <c r="N883" i="3" s="1"/>
  <c r="N882" i="3" a="1"/>
  <c r="N882" i="3" s="1"/>
  <c r="N881" i="3" a="1"/>
  <c r="N881" i="3" s="1"/>
  <c r="N880" i="3" a="1"/>
  <c r="N880" i="3" s="1"/>
  <c r="N879" i="3" a="1"/>
  <c r="N879" i="3" s="1"/>
  <c r="N878" i="3" a="1"/>
  <c r="N878" i="3" s="1"/>
  <c r="N877" i="3" a="1"/>
  <c r="N877" i="3" s="1"/>
  <c r="N876" i="3" a="1"/>
  <c r="N876" i="3" s="1"/>
  <c r="N875" i="3" a="1"/>
  <c r="N875" i="3" s="1"/>
  <c r="N874" i="3" a="1"/>
  <c r="N874" i="3" s="1"/>
  <c r="N873" i="3" a="1"/>
  <c r="N873" i="3" s="1"/>
  <c r="N872" i="3" a="1"/>
  <c r="N872" i="3" s="1"/>
  <c r="N871" i="3" a="1"/>
  <c r="N871" i="3" s="1"/>
  <c r="N870" i="3" a="1"/>
  <c r="N870" i="3" s="1"/>
  <c r="N869" i="3" a="1"/>
  <c r="N869" i="3" s="1"/>
  <c r="N868" i="3" a="1"/>
  <c r="N868" i="3" s="1"/>
  <c r="N867" i="3" a="1"/>
  <c r="N867" i="3" s="1"/>
  <c r="N866" i="3" a="1"/>
  <c r="N866" i="3" s="1"/>
  <c r="N865" i="3" a="1"/>
  <c r="N865" i="3" s="1"/>
  <c r="N864" i="3" a="1"/>
  <c r="N864" i="3" s="1"/>
  <c r="N863" i="3" a="1"/>
  <c r="N863" i="3" s="1"/>
  <c r="N862" i="3" a="1"/>
  <c r="N862" i="3" s="1"/>
  <c r="N861" i="3" a="1"/>
  <c r="N861" i="3" s="1"/>
  <c r="N860" i="3" a="1"/>
  <c r="N860" i="3" s="1"/>
  <c r="N859" i="3" a="1"/>
  <c r="N859" i="3" s="1"/>
  <c r="N858" i="3" a="1"/>
  <c r="N858" i="3" s="1"/>
  <c r="N857" i="3" a="1"/>
  <c r="N857" i="3" s="1"/>
  <c r="N856" i="3" a="1"/>
  <c r="N856" i="3" s="1"/>
  <c r="N855" i="3" a="1"/>
  <c r="N855" i="3" s="1"/>
  <c r="N854" i="3" a="1"/>
  <c r="N854" i="3" s="1"/>
  <c r="N853" i="3" a="1"/>
  <c r="N853" i="3" s="1"/>
  <c r="N852" i="3" a="1"/>
  <c r="N852" i="3" s="1"/>
  <c r="N851" i="3" a="1"/>
  <c r="N851" i="3" s="1"/>
  <c r="N850" i="3" a="1"/>
  <c r="N850" i="3" s="1"/>
  <c r="N849" i="3" a="1"/>
  <c r="N849" i="3" s="1"/>
  <c r="N848" i="3" a="1"/>
  <c r="N848" i="3" s="1"/>
  <c r="N847" i="3" a="1"/>
  <c r="N847" i="3" s="1"/>
  <c r="N846" i="3" a="1"/>
  <c r="N846" i="3" s="1"/>
  <c r="N845" i="3" a="1"/>
  <c r="N845" i="3" s="1"/>
  <c r="N844" i="3" a="1"/>
  <c r="N844" i="3" s="1"/>
  <c r="N843" i="3" a="1"/>
  <c r="N843" i="3" s="1"/>
  <c r="N842" i="3" a="1"/>
  <c r="N842" i="3" s="1"/>
  <c r="N841" i="3" a="1"/>
  <c r="N841" i="3" s="1"/>
  <c r="N840" i="3" a="1"/>
  <c r="N840" i="3" s="1"/>
  <c r="N839" i="3" a="1"/>
  <c r="N839" i="3" s="1"/>
  <c r="N838" i="3" a="1"/>
  <c r="N838" i="3" s="1"/>
  <c r="N837" i="3" a="1"/>
  <c r="N837" i="3" s="1"/>
  <c r="N836" i="3" a="1"/>
  <c r="N836" i="3" s="1"/>
  <c r="N835" i="3" a="1"/>
  <c r="N835" i="3" s="1"/>
  <c r="N834" i="3" a="1"/>
  <c r="N834" i="3" s="1"/>
  <c r="N833" i="3" a="1"/>
  <c r="N833" i="3" s="1"/>
  <c r="N832" i="3" a="1"/>
  <c r="N832" i="3" s="1"/>
  <c r="N831" i="3" a="1"/>
  <c r="N831" i="3" s="1"/>
  <c r="N830" i="3" a="1"/>
  <c r="N830" i="3" s="1"/>
  <c r="N829" i="3" a="1"/>
  <c r="N829" i="3" s="1"/>
  <c r="N828" i="3" a="1"/>
  <c r="N828" i="3" s="1"/>
  <c r="N827" i="3" a="1"/>
  <c r="N827" i="3" s="1"/>
  <c r="N826" i="3" a="1"/>
  <c r="N826" i="3" s="1"/>
  <c r="N825" i="3" a="1"/>
  <c r="N825" i="3" s="1"/>
  <c r="N824" i="3" a="1"/>
  <c r="N824" i="3" s="1"/>
  <c r="N823" i="3" a="1"/>
  <c r="N823" i="3" s="1"/>
  <c r="N822" i="3" a="1"/>
  <c r="N822" i="3" s="1"/>
  <c r="N821" i="3" a="1"/>
  <c r="N821" i="3" s="1"/>
  <c r="N820" i="3" a="1"/>
  <c r="N820" i="3" s="1"/>
  <c r="N819" i="3" a="1"/>
  <c r="N819" i="3" s="1"/>
  <c r="N818" i="3" a="1"/>
  <c r="N818" i="3" s="1"/>
  <c r="N817" i="3" a="1"/>
  <c r="N817" i="3" s="1"/>
  <c r="N816" i="3" a="1"/>
  <c r="N816" i="3" s="1"/>
  <c r="N815" i="3" a="1"/>
  <c r="N815" i="3" s="1"/>
  <c r="N814" i="3" a="1"/>
  <c r="N814" i="3" s="1"/>
  <c r="N813" i="3" a="1"/>
  <c r="N813" i="3" s="1"/>
  <c r="N812" i="3" a="1"/>
  <c r="N812" i="3" s="1"/>
  <c r="N811" i="3" a="1"/>
  <c r="N811" i="3" s="1"/>
  <c r="N810" i="3" a="1"/>
  <c r="N810" i="3" s="1"/>
  <c r="N809" i="3" a="1"/>
  <c r="N809" i="3" s="1"/>
  <c r="N808" i="3" a="1"/>
  <c r="N808" i="3" s="1"/>
  <c r="N807" i="3" a="1"/>
  <c r="N807" i="3" s="1"/>
  <c r="N806" i="3" a="1"/>
  <c r="N806" i="3" s="1"/>
  <c r="N805" i="3" a="1"/>
  <c r="N805" i="3" s="1"/>
  <c r="N804" i="3" a="1"/>
  <c r="N804" i="3" s="1"/>
  <c r="N803" i="3" a="1"/>
  <c r="N803" i="3" s="1"/>
  <c r="N802" i="3" a="1"/>
  <c r="N802" i="3" s="1"/>
  <c r="N801" i="3" a="1"/>
  <c r="N801" i="3" s="1"/>
  <c r="N800" i="3" a="1"/>
  <c r="N800" i="3" s="1"/>
  <c r="N799" i="3" a="1"/>
  <c r="N799" i="3" s="1"/>
  <c r="N798" i="3" a="1"/>
  <c r="N798" i="3" s="1"/>
  <c r="N797" i="3" a="1"/>
  <c r="N797" i="3" s="1"/>
  <c r="N796" i="3" a="1"/>
  <c r="N796" i="3" s="1"/>
  <c r="N795" i="3" a="1"/>
  <c r="N795" i="3" s="1"/>
  <c r="N794" i="3" a="1"/>
  <c r="N794" i="3" s="1"/>
  <c r="N793" i="3" a="1"/>
  <c r="N793" i="3" s="1"/>
  <c r="N792" i="3" a="1"/>
  <c r="N792" i="3" s="1"/>
  <c r="N791" i="3" a="1"/>
  <c r="N791" i="3" s="1"/>
  <c r="N790" i="3" a="1"/>
  <c r="N790" i="3" s="1"/>
  <c r="N789" i="3" a="1"/>
  <c r="N789" i="3" s="1"/>
  <c r="N788" i="3" a="1"/>
  <c r="N788" i="3" s="1"/>
  <c r="N787" i="3" a="1"/>
  <c r="N787" i="3" s="1"/>
  <c r="N786" i="3" a="1"/>
  <c r="N786" i="3" s="1"/>
  <c r="N785" i="3" a="1"/>
  <c r="N785" i="3" s="1"/>
  <c r="N784" i="3" a="1"/>
  <c r="N784" i="3" s="1"/>
  <c r="N783" i="3" a="1"/>
  <c r="N783" i="3" s="1"/>
  <c r="N782" i="3" a="1"/>
  <c r="N782" i="3" s="1"/>
  <c r="N781" i="3" a="1"/>
  <c r="N781" i="3" s="1"/>
  <c r="N780" i="3" a="1"/>
  <c r="N780" i="3" s="1"/>
  <c r="N779" i="3" a="1"/>
  <c r="N779" i="3" s="1"/>
  <c r="N778" i="3" a="1"/>
  <c r="N778" i="3" s="1"/>
  <c r="N777" i="3" a="1"/>
  <c r="N777" i="3" s="1"/>
  <c r="N776" i="3" a="1"/>
  <c r="N776" i="3" s="1"/>
  <c r="N775" i="3" a="1"/>
  <c r="N775" i="3" s="1"/>
  <c r="N774" i="3" a="1"/>
  <c r="N774" i="3" s="1"/>
  <c r="N773" i="3" a="1"/>
  <c r="N773" i="3" s="1"/>
  <c r="N772" i="3" a="1"/>
  <c r="N772" i="3" s="1"/>
  <c r="N771" i="3" a="1"/>
  <c r="N771" i="3" s="1"/>
  <c r="N770" i="3" a="1"/>
  <c r="N770" i="3" s="1"/>
  <c r="N769" i="3" a="1"/>
  <c r="N769" i="3" s="1"/>
  <c r="N768" i="3" a="1"/>
  <c r="N768" i="3" s="1"/>
  <c r="N767" i="3" a="1"/>
  <c r="N767" i="3" s="1"/>
  <c r="N766" i="3" a="1"/>
  <c r="N766" i="3" s="1"/>
  <c r="N765" i="3" a="1"/>
  <c r="N765" i="3" s="1"/>
  <c r="N764" i="3" a="1"/>
  <c r="N764" i="3" s="1"/>
  <c r="N763" i="3" a="1"/>
  <c r="N763" i="3" s="1"/>
  <c r="N762" i="3" a="1"/>
  <c r="N762" i="3" s="1"/>
  <c r="N761" i="3" a="1"/>
  <c r="N761" i="3" s="1"/>
  <c r="N760" i="3" a="1"/>
  <c r="N760" i="3" s="1"/>
  <c r="N759" i="3" a="1"/>
  <c r="N759" i="3" s="1"/>
  <c r="N758" i="3" a="1"/>
  <c r="N758" i="3" s="1"/>
  <c r="N757" i="3" a="1"/>
  <c r="N757" i="3" s="1"/>
  <c r="N756" i="3" a="1"/>
  <c r="N756" i="3" s="1"/>
  <c r="N755" i="3" a="1"/>
  <c r="N755" i="3" s="1"/>
  <c r="N754" i="3" a="1"/>
  <c r="N754" i="3" s="1"/>
  <c r="N753" i="3" a="1"/>
  <c r="N753" i="3" s="1"/>
  <c r="N752" i="3" a="1"/>
  <c r="N752" i="3" s="1"/>
  <c r="N751" i="3" a="1"/>
  <c r="N751" i="3" s="1"/>
  <c r="N750" i="3" a="1"/>
  <c r="N750" i="3" s="1"/>
  <c r="N749" i="3" a="1"/>
  <c r="N749" i="3" s="1"/>
  <c r="N748" i="3" a="1"/>
  <c r="N748" i="3" s="1"/>
  <c r="N747" i="3" a="1"/>
  <c r="N747" i="3" s="1"/>
  <c r="N746" i="3" a="1"/>
  <c r="N746" i="3" s="1"/>
  <c r="N745" i="3" a="1"/>
  <c r="N745" i="3" s="1"/>
  <c r="N744" i="3" a="1"/>
  <c r="N744" i="3" s="1"/>
  <c r="N743" i="3" a="1"/>
  <c r="N743" i="3" s="1"/>
  <c r="N742" i="3" a="1"/>
  <c r="N742" i="3" s="1"/>
  <c r="N741" i="3" a="1"/>
  <c r="N741" i="3" s="1"/>
  <c r="N740" i="3" a="1"/>
  <c r="N740" i="3" s="1"/>
  <c r="N739" i="3" a="1"/>
  <c r="N739" i="3" s="1"/>
  <c r="N738" i="3" a="1"/>
  <c r="N738" i="3" s="1"/>
  <c r="N737" i="3" a="1"/>
  <c r="N737" i="3" s="1"/>
  <c r="N736" i="3" a="1"/>
  <c r="N736" i="3" s="1"/>
  <c r="N735" i="3" a="1"/>
  <c r="N735" i="3" s="1"/>
  <c r="N734" i="3" a="1"/>
  <c r="N734" i="3" s="1"/>
  <c r="N733" i="3" a="1"/>
  <c r="N733" i="3" s="1"/>
  <c r="N732" i="3" a="1"/>
  <c r="N732" i="3" s="1"/>
  <c r="N731" i="3" a="1"/>
  <c r="N731" i="3" s="1"/>
  <c r="N730" i="3" a="1"/>
  <c r="N730" i="3" s="1"/>
  <c r="N729" i="3" a="1"/>
  <c r="N729" i="3" s="1"/>
  <c r="N728" i="3" a="1"/>
  <c r="N728" i="3" s="1"/>
  <c r="N727" i="3" a="1"/>
  <c r="N727" i="3" s="1"/>
  <c r="N726" i="3" a="1"/>
  <c r="N726" i="3" s="1"/>
  <c r="N725" i="3" a="1"/>
  <c r="N725" i="3" s="1"/>
  <c r="N724" i="3" a="1"/>
  <c r="N724" i="3" s="1"/>
  <c r="N723" i="3" a="1"/>
  <c r="N723" i="3" s="1"/>
  <c r="N722" i="3" a="1"/>
  <c r="N722" i="3" s="1"/>
  <c r="N721" i="3" a="1"/>
  <c r="N721" i="3" s="1"/>
  <c r="N720" i="3" a="1"/>
  <c r="N720" i="3" s="1"/>
  <c r="N719" i="3" a="1"/>
  <c r="N719" i="3" s="1"/>
  <c r="N718" i="3" a="1"/>
  <c r="N718" i="3" s="1"/>
  <c r="N717" i="3" a="1"/>
  <c r="N717" i="3" s="1"/>
  <c r="N716" i="3" a="1"/>
  <c r="N716" i="3" s="1"/>
  <c r="N715" i="3" a="1"/>
  <c r="N715" i="3" s="1"/>
  <c r="N714" i="3" a="1"/>
  <c r="N714" i="3" s="1"/>
  <c r="N713" i="3" a="1"/>
  <c r="N713" i="3" s="1"/>
  <c r="N712" i="3" a="1"/>
  <c r="N712" i="3" s="1"/>
  <c r="N711" i="3" a="1"/>
  <c r="N711" i="3" s="1"/>
  <c r="N710" i="3" a="1"/>
  <c r="N710" i="3" s="1"/>
  <c r="N709" i="3" a="1"/>
  <c r="N709" i="3" s="1"/>
  <c r="N708" i="3" a="1"/>
  <c r="N708" i="3" s="1"/>
  <c r="N707" i="3" a="1"/>
  <c r="N707" i="3" s="1"/>
  <c r="N706" i="3" a="1"/>
  <c r="N706" i="3" s="1"/>
  <c r="N705" i="3" a="1"/>
  <c r="N705" i="3" s="1"/>
  <c r="N704" i="3" a="1"/>
  <c r="N704" i="3" s="1"/>
  <c r="N703" i="3" a="1"/>
  <c r="N703" i="3" s="1"/>
  <c r="N702" i="3" a="1"/>
  <c r="N702" i="3" s="1"/>
  <c r="N701" i="3" a="1"/>
  <c r="N701" i="3" s="1"/>
  <c r="N700" i="3" a="1"/>
  <c r="N700" i="3" s="1"/>
  <c r="N699" i="3" a="1"/>
  <c r="N699" i="3" s="1"/>
  <c r="N698" i="3" a="1"/>
  <c r="N698" i="3" s="1"/>
  <c r="N697" i="3" a="1"/>
  <c r="N697" i="3" s="1"/>
  <c r="N696" i="3" a="1"/>
  <c r="N696" i="3" s="1"/>
  <c r="N695" i="3" a="1"/>
  <c r="N695" i="3" s="1"/>
  <c r="N694" i="3" a="1"/>
  <c r="N694" i="3" s="1"/>
  <c r="N693" i="3" a="1"/>
  <c r="N693" i="3" s="1"/>
  <c r="N692" i="3" a="1"/>
  <c r="N692" i="3" s="1"/>
  <c r="N691" i="3" a="1"/>
  <c r="N691" i="3" s="1"/>
  <c r="N690" i="3" a="1"/>
  <c r="N690" i="3" s="1"/>
  <c r="N689" i="3" a="1"/>
  <c r="N689" i="3" s="1"/>
  <c r="N688" i="3" a="1"/>
  <c r="N688" i="3" s="1"/>
  <c r="N687" i="3" a="1"/>
  <c r="N687" i="3" s="1"/>
  <c r="N686" i="3" a="1"/>
  <c r="N686" i="3" s="1"/>
  <c r="N685" i="3" a="1"/>
  <c r="N685" i="3" s="1"/>
  <c r="N684" i="3" a="1"/>
  <c r="N684" i="3" s="1"/>
  <c r="N683" i="3" a="1"/>
  <c r="N683" i="3" s="1"/>
  <c r="N682" i="3" a="1"/>
  <c r="N682" i="3" s="1"/>
  <c r="N681" i="3" a="1"/>
  <c r="N681" i="3" s="1"/>
  <c r="N680" i="3" a="1"/>
  <c r="N680" i="3" s="1"/>
  <c r="N679" i="3" a="1"/>
  <c r="N679" i="3" s="1"/>
  <c r="N678" i="3" a="1"/>
  <c r="N678" i="3" s="1"/>
  <c r="N677" i="3" a="1"/>
  <c r="N677" i="3" s="1"/>
  <c r="N676" i="3" a="1"/>
  <c r="N676" i="3" s="1"/>
  <c r="N675" i="3" a="1"/>
  <c r="N675" i="3" s="1"/>
  <c r="N674" i="3" a="1"/>
  <c r="N674" i="3" s="1"/>
  <c r="N673" i="3" a="1"/>
  <c r="N673" i="3" s="1"/>
  <c r="N672" i="3" a="1"/>
  <c r="N672" i="3" s="1"/>
  <c r="N671" i="3" a="1"/>
  <c r="N671" i="3" s="1"/>
  <c r="N670" i="3" a="1"/>
  <c r="N670" i="3" s="1"/>
  <c r="N669" i="3" a="1"/>
  <c r="N669" i="3" s="1"/>
  <c r="N668" i="3" a="1"/>
  <c r="N668" i="3" s="1"/>
  <c r="N667" i="3" a="1"/>
  <c r="N667" i="3" s="1"/>
  <c r="N666" i="3" a="1"/>
  <c r="N666" i="3" s="1"/>
  <c r="N665" i="3" a="1"/>
  <c r="N665" i="3" s="1"/>
  <c r="N664" i="3" a="1"/>
  <c r="N664" i="3" s="1"/>
  <c r="N663" i="3" a="1"/>
  <c r="N663" i="3" s="1"/>
  <c r="N662" i="3" a="1"/>
  <c r="N662" i="3" s="1"/>
  <c r="N661" i="3" a="1"/>
  <c r="N661" i="3" s="1"/>
  <c r="N660" i="3" a="1"/>
  <c r="N660" i="3" s="1"/>
  <c r="N659" i="3" a="1"/>
  <c r="N659" i="3" s="1"/>
  <c r="N658" i="3" a="1"/>
  <c r="N658" i="3" s="1"/>
  <c r="N657" i="3" a="1"/>
  <c r="N657" i="3" s="1"/>
  <c r="N656" i="3" a="1"/>
  <c r="N656" i="3" s="1"/>
  <c r="N655" i="3" a="1"/>
  <c r="N655" i="3" s="1"/>
  <c r="N654" i="3" a="1"/>
  <c r="N654" i="3" s="1"/>
  <c r="N653" i="3" a="1"/>
  <c r="N653" i="3" s="1"/>
  <c r="N652" i="3" a="1"/>
  <c r="N652" i="3" s="1"/>
  <c r="N651" i="3" a="1"/>
  <c r="N651" i="3" s="1"/>
  <c r="N650" i="3" a="1"/>
  <c r="N650" i="3" s="1"/>
  <c r="N649" i="3" a="1"/>
  <c r="N649" i="3" s="1"/>
  <c r="N648" i="3" a="1"/>
  <c r="N648" i="3" s="1"/>
  <c r="N647" i="3" a="1"/>
  <c r="N647" i="3" s="1"/>
  <c r="N646" i="3" a="1"/>
  <c r="N646" i="3" s="1"/>
  <c r="N645" i="3" a="1"/>
  <c r="N645" i="3" s="1"/>
  <c r="N644" i="3" a="1"/>
  <c r="N644" i="3" s="1"/>
  <c r="N643" i="3" a="1"/>
  <c r="N643" i="3" s="1"/>
  <c r="N642" i="3" a="1"/>
  <c r="N642" i="3" s="1"/>
  <c r="N641" i="3" a="1"/>
  <c r="N641" i="3" s="1"/>
  <c r="N640" i="3" a="1"/>
  <c r="N640" i="3" s="1"/>
  <c r="N639" i="3" a="1"/>
  <c r="N639" i="3" s="1"/>
  <c r="N638" i="3" a="1"/>
  <c r="N638" i="3" s="1"/>
  <c r="N637" i="3" a="1"/>
  <c r="N637" i="3" s="1"/>
  <c r="N636" i="3" a="1"/>
  <c r="N636" i="3" s="1"/>
  <c r="N635" i="3" a="1"/>
  <c r="N635" i="3" s="1"/>
  <c r="N634" i="3" a="1"/>
  <c r="N634" i="3" s="1"/>
  <c r="N633" i="3" a="1"/>
  <c r="N633" i="3" s="1"/>
  <c r="N632" i="3" a="1"/>
  <c r="N632" i="3" s="1"/>
  <c r="N631" i="3" a="1"/>
  <c r="N631" i="3" s="1"/>
  <c r="N630" i="3" a="1"/>
  <c r="N630" i="3" s="1"/>
  <c r="N629" i="3" a="1"/>
  <c r="N629" i="3" s="1"/>
  <c r="N628" i="3" a="1"/>
  <c r="N628" i="3" s="1"/>
  <c r="N627" i="3" a="1"/>
  <c r="N627" i="3" s="1"/>
  <c r="N626" i="3" a="1"/>
  <c r="N626" i="3" s="1"/>
  <c r="N625" i="3" a="1"/>
  <c r="N625" i="3" s="1"/>
  <c r="N624" i="3" a="1"/>
  <c r="N624" i="3" s="1"/>
  <c r="N623" i="3" a="1"/>
  <c r="N623" i="3" s="1"/>
  <c r="N622" i="3" a="1"/>
  <c r="N622" i="3" s="1"/>
  <c r="N621" i="3" a="1"/>
  <c r="N621" i="3" s="1"/>
  <c r="N620" i="3" a="1"/>
  <c r="N620" i="3" s="1"/>
  <c r="N619" i="3" a="1"/>
  <c r="N619" i="3" s="1"/>
  <c r="N618" i="3" a="1"/>
  <c r="N618" i="3" s="1"/>
  <c r="N617" i="3" a="1"/>
  <c r="N617" i="3" s="1"/>
  <c r="N616" i="3" a="1"/>
  <c r="N616" i="3" s="1"/>
  <c r="N615" i="3" a="1"/>
  <c r="N615" i="3" s="1"/>
  <c r="N614" i="3" a="1"/>
  <c r="N614" i="3" s="1"/>
  <c r="N613" i="3" a="1"/>
  <c r="N613" i="3" s="1"/>
  <c r="N612" i="3" a="1"/>
  <c r="N612" i="3" s="1"/>
  <c r="N611" i="3" a="1"/>
  <c r="N611" i="3" s="1"/>
  <c r="N610" i="3" a="1"/>
  <c r="N610" i="3" s="1"/>
  <c r="N609" i="3" a="1"/>
  <c r="N609" i="3" s="1"/>
  <c r="N608" i="3" a="1"/>
  <c r="N608" i="3" s="1"/>
  <c r="N607" i="3" a="1"/>
  <c r="N607" i="3" s="1"/>
  <c r="N606" i="3" a="1"/>
  <c r="N606" i="3" s="1"/>
  <c r="N605" i="3" a="1"/>
  <c r="N605" i="3" s="1"/>
  <c r="N604" i="3" a="1"/>
  <c r="N604" i="3" s="1"/>
  <c r="N603" i="3" a="1"/>
  <c r="N603" i="3" s="1"/>
  <c r="N602" i="3" a="1"/>
  <c r="N602" i="3" s="1"/>
  <c r="N601" i="3" a="1"/>
  <c r="N601" i="3" s="1"/>
  <c r="N600" i="3" a="1"/>
  <c r="N600" i="3" s="1"/>
  <c r="N599" i="3" a="1"/>
  <c r="N599" i="3" s="1"/>
  <c r="N598" i="3" a="1"/>
  <c r="N598" i="3" s="1"/>
  <c r="N597" i="3" a="1"/>
  <c r="N597" i="3" s="1"/>
  <c r="N596" i="3" a="1"/>
  <c r="N596" i="3" s="1"/>
  <c r="N595" i="3" a="1"/>
  <c r="N595" i="3" s="1"/>
  <c r="N594" i="3" a="1"/>
  <c r="N594" i="3" s="1"/>
  <c r="N593" i="3" a="1"/>
  <c r="N593" i="3" s="1"/>
  <c r="N592" i="3" a="1"/>
  <c r="N592" i="3" s="1"/>
  <c r="N591" i="3" a="1"/>
  <c r="N591" i="3" s="1"/>
  <c r="N590" i="3" a="1"/>
  <c r="N590" i="3" s="1"/>
  <c r="N589" i="3" a="1"/>
  <c r="N589" i="3" s="1"/>
  <c r="N588" i="3" a="1"/>
  <c r="N588" i="3" s="1"/>
  <c r="N587" i="3" a="1"/>
  <c r="N587" i="3" s="1"/>
  <c r="N586" i="3" a="1"/>
  <c r="N586" i="3" s="1"/>
  <c r="N585" i="3" a="1"/>
  <c r="N585" i="3" s="1"/>
  <c r="N584" i="3" a="1"/>
  <c r="N584" i="3" s="1"/>
  <c r="N583" i="3" a="1"/>
  <c r="N583" i="3" s="1"/>
  <c r="N582" i="3" a="1"/>
  <c r="N582" i="3" s="1"/>
  <c r="N581" i="3" a="1"/>
  <c r="N581" i="3" s="1"/>
  <c r="N580" i="3" a="1"/>
  <c r="N580" i="3" s="1"/>
  <c r="N579" i="3" a="1"/>
  <c r="N579" i="3" s="1"/>
  <c r="N578" i="3" a="1"/>
  <c r="N578" i="3" s="1"/>
  <c r="N577" i="3" a="1"/>
  <c r="N577" i="3" s="1"/>
  <c r="N576" i="3" a="1"/>
  <c r="N576" i="3" s="1"/>
  <c r="N575" i="3" a="1"/>
  <c r="N575" i="3" s="1"/>
  <c r="N574" i="3" a="1"/>
  <c r="N574" i="3" s="1"/>
  <c r="N573" i="3" a="1"/>
  <c r="N573" i="3" s="1"/>
  <c r="N572" i="3" a="1"/>
  <c r="N572" i="3" s="1"/>
  <c r="N571" i="3" a="1"/>
  <c r="N571" i="3" s="1"/>
  <c r="N570" i="3" a="1"/>
  <c r="N570" i="3" s="1"/>
  <c r="N569" i="3" a="1"/>
  <c r="N569" i="3" s="1"/>
  <c r="N568" i="3" a="1"/>
  <c r="N568" i="3" s="1"/>
  <c r="N567" i="3" a="1"/>
  <c r="N567" i="3" s="1"/>
  <c r="N566" i="3" a="1"/>
  <c r="N566" i="3" s="1"/>
  <c r="N565" i="3" a="1"/>
  <c r="N565" i="3" s="1"/>
  <c r="N564" i="3" a="1"/>
  <c r="N564" i="3" s="1"/>
  <c r="N563" i="3" a="1"/>
  <c r="N563" i="3" s="1"/>
  <c r="N562" i="3" a="1"/>
  <c r="N562" i="3" s="1"/>
  <c r="N561" i="3" a="1"/>
  <c r="N561" i="3" s="1"/>
  <c r="N560" i="3" a="1"/>
  <c r="N560" i="3" s="1"/>
  <c r="N559" i="3" a="1"/>
  <c r="N559" i="3" s="1"/>
  <c r="N558" i="3" a="1"/>
  <c r="N558" i="3" s="1"/>
  <c r="N557" i="3" a="1"/>
  <c r="N557" i="3" s="1"/>
  <c r="N556" i="3" a="1"/>
  <c r="N556" i="3" s="1"/>
  <c r="N555" i="3" a="1"/>
  <c r="N555" i="3" s="1"/>
  <c r="N554" i="3" a="1"/>
  <c r="N554" i="3" s="1"/>
  <c r="N553" i="3" a="1"/>
  <c r="N553" i="3" s="1"/>
  <c r="N552" i="3" a="1"/>
  <c r="N552" i="3" s="1"/>
  <c r="N551" i="3" a="1"/>
  <c r="N551" i="3" s="1"/>
  <c r="N550" i="3" a="1"/>
  <c r="N550" i="3" s="1"/>
  <c r="N549" i="3" a="1"/>
  <c r="N549" i="3" s="1"/>
  <c r="N548" i="3" a="1"/>
  <c r="N548" i="3" s="1"/>
  <c r="N547" i="3" a="1"/>
  <c r="N547" i="3" s="1"/>
  <c r="N546" i="3" a="1"/>
  <c r="N546" i="3" s="1"/>
  <c r="N545" i="3" a="1"/>
  <c r="N545" i="3" s="1"/>
  <c r="N544" i="3" a="1"/>
  <c r="N544" i="3" s="1"/>
  <c r="N543" i="3" a="1"/>
  <c r="N543" i="3" s="1"/>
  <c r="N542" i="3" a="1"/>
  <c r="N542" i="3" s="1"/>
  <c r="N541" i="3" a="1"/>
  <c r="N541" i="3" s="1"/>
  <c r="N540" i="3" a="1"/>
  <c r="N540" i="3" s="1"/>
  <c r="N539" i="3" a="1"/>
  <c r="N539" i="3" s="1"/>
  <c r="N538" i="3" a="1"/>
  <c r="N538" i="3" s="1"/>
  <c r="N537" i="3" a="1"/>
  <c r="N537" i="3" s="1"/>
  <c r="N536" i="3" a="1"/>
  <c r="N536" i="3" s="1"/>
  <c r="N535" i="3" a="1"/>
  <c r="N535" i="3" s="1"/>
  <c r="N534" i="3" a="1"/>
  <c r="N534" i="3" s="1"/>
  <c r="N533" i="3" a="1"/>
  <c r="N533" i="3" s="1"/>
  <c r="N532" i="3" a="1"/>
  <c r="N532" i="3" s="1"/>
  <c r="N531" i="3" a="1"/>
  <c r="N531" i="3" s="1"/>
  <c r="N530" i="3" a="1"/>
  <c r="N530" i="3" s="1"/>
  <c r="N529" i="3" a="1"/>
  <c r="N529" i="3" s="1"/>
  <c r="N528" i="3" a="1"/>
  <c r="N528" i="3" s="1"/>
  <c r="N527" i="3" a="1"/>
  <c r="N527" i="3" s="1"/>
  <c r="N526" i="3" a="1"/>
  <c r="N526" i="3" s="1"/>
  <c r="N525" i="3" a="1"/>
  <c r="N525" i="3" s="1"/>
  <c r="N524" i="3" a="1"/>
  <c r="N524" i="3" s="1"/>
  <c r="N523" i="3" a="1"/>
  <c r="N523" i="3" s="1"/>
  <c r="N522" i="3" a="1"/>
  <c r="N522" i="3" s="1"/>
  <c r="N521" i="3" a="1"/>
  <c r="N521" i="3" s="1"/>
  <c r="N520" i="3" a="1"/>
  <c r="N520" i="3" s="1"/>
  <c r="N519" i="3" a="1"/>
  <c r="N519" i="3" s="1"/>
  <c r="N518" i="3" a="1"/>
  <c r="N518" i="3" s="1"/>
  <c r="N517" i="3" a="1"/>
  <c r="N517" i="3" s="1"/>
  <c r="N516" i="3" a="1"/>
  <c r="N516" i="3" s="1"/>
  <c r="N515" i="3" a="1"/>
  <c r="N515" i="3" s="1"/>
  <c r="N514" i="3" a="1"/>
  <c r="N514" i="3" s="1"/>
  <c r="N513" i="3" a="1"/>
  <c r="N513" i="3" s="1"/>
  <c r="N512" i="3" a="1"/>
  <c r="N512" i="3" s="1"/>
  <c r="N511" i="3" a="1"/>
  <c r="N511" i="3" s="1"/>
  <c r="N510" i="3" a="1"/>
  <c r="N510" i="3" s="1"/>
  <c r="N509" i="3" a="1"/>
  <c r="N509" i="3" s="1"/>
  <c r="N508" i="3" a="1"/>
  <c r="N508" i="3" s="1"/>
  <c r="N507" i="3" a="1"/>
  <c r="N507" i="3" s="1"/>
  <c r="N506" i="3" a="1"/>
  <c r="N506" i="3" s="1"/>
  <c r="N505" i="3" a="1"/>
  <c r="N505" i="3" s="1"/>
  <c r="N504" i="3" a="1"/>
  <c r="N504" i="3" s="1"/>
  <c r="N503" i="3" a="1"/>
  <c r="N503" i="3" s="1"/>
  <c r="N502" i="3" a="1"/>
  <c r="N502" i="3" s="1"/>
  <c r="N501" i="3" a="1"/>
  <c r="N501" i="3" s="1"/>
  <c r="N500" i="3" a="1"/>
  <c r="N500" i="3" s="1"/>
  <c r="N499" i="3" a="1"/>
  <c r="N499" i="3" s="1"/>
  <c r="N498" i="3" a="1"/>
  <c r="N498" i="3" s="1"/>
  <c r="N497" i="3" a="1"/>
  <c r="N497" i="3" s="1"/>
  <c r="N496" i="3" a="1"/>
  <c r="N496" i="3" s="1"/>
  <c r="N495" i="3" a="1"/>
  <c r="N495" i="3" s="1"/>
  <c r="N494" i="3" a="1"/>
  <c r="N494" i="3" s="1"/>
  <c r="N493" i="3" a="1"/>
  <c r="N493" i="3" s="1"/>
  <c r="N492" i="3" a="1"/>
  <c r="N492" i="3" s="1"/>
  <c r="N491" i="3" a="1"/>
  <c r="N491" i="3" s="1"/>
  <c r="N490" i="3" a="1"/>
  <c r="N490" i="3" s="1"/>
  <c r="N489" i="3" a="1"/>
  <c r="N489" i="3" s="1"/>
  <c r="N488" i="3" a="1"/>
  <c r="N488" i="3" s="1"/>
  <c r="N487" i="3" a="1"/>
  <c r="N487" i="3" s="1"/>
  <c r="N486" i="3" a="1"/>
  <c r="N486" i="3" s="1"/>
  <c r="N485" i="3" a="1"/>
  <c r="N485" i="3" s="1"/>
  <c r="N484" i="3" a="1"/>
  <c r="N484" i="3" s="1"/>
  <c r="N483" i="3" a="1"/>
  <c r="N483" i="3" s="1"/>
  <c r="N482" i="3" a="1"/>
  <c r="N482" i="3" s="1"/>
  <c r="N481" i="3" a="1"/>
  <c r="N481" i="3" s="1"/>
  <c r="N480" i="3" a="1"/>
  <c r="N480" i="3" s="1"/>
  <c r="N479" i="3" a="1"/>
  <c r="N479" i="3" s="1"/>
  <c r="N478" i="3" a="1"/>
  <c r="N478" i="3" s="1"/>
  <c r="N477" i="3" a="1"/>
  <c r="N477" i="3" s="1"/>
  <c r="N476" i="3" a="1"/>
  <c r="N476" i="3" s="1"/>
  <c r="N475" i="3" a="1"/>
  <c r="N475" i="3" s="1"/>
  <c r="N474" i="3" a="1"/>
  <c r="N474" i="3" s="1"/>
  <c r="N473" i="3" a="1"/>
  <c r="N473" i="3" s="1"/>
  <c r="N472" i="3" a="1"/>
  <c r="N472" i="3" s="1"/>
  <c r="N471" i="3" a="1"/>
  <c r="N471" i="3" s="1"/>
  <c r="N470" i="3" a="1"/>
  <c r="N470" i="3" s="1"/>
  <c r="N469" i="3" a="1"/>
  <c r="N469" i="3" s="1"/>
  <c r="N468" i="3" a="1"/>
  <c r="N468" i="3" s="1"/>
  <c r="N467" i="3" a="1"/>
  <c r="N467" i="3" s="1"/>
  <c r="N466" i="3" a="1"/>
  <c r="N466" i="3" s="1"/>
  <c r="N465" i="3" a="1"/>
  <c r="N465" i="3" s="1"/>
  <c r="N464" i="3" a="1"/>
  <c r="N464" i="3" s="1"/>
  <c r="N463" i="3" a="1"/>
  <c r="N463" i="3" s="1"/>
  <c r="N462" i="3" a="1"/>
  <c r="N462" i="3" s="1"/>
  <c r="N461" i="3" a="1"/>
  <c r="N461" i="3" s="1"/>
  <c r="N460" i="3" a="1"/>
  <c r="N460" i="3" s="1"/>
  <c r="N459" i="3" a="1"/>
  <c r="N459" i="3" s="1"/>
  <c r="N458" i="3" a="1"/>
  <c r="N458" i="3" s="1"/>
  <c r="N457" i="3" a="1"/>
  <c r="N457" i="3" s="1"/>
  <c r="N456" i="3" a="1"/>
  <c r="N456" i="3" s="1"/>
  <c r="N455" i="3" a="1"/>
  <c r="N455" i="3" s="1"/>
  <c r="N454" i="3" a="1"/>
  <c r="N454" i="3" s="1"/>
  <c r="N453" i="3" a="1"/>
  <c r="N453" i="3" s="1"/>
  <c r="N452" i="3" a="1"/>
  <c r="N452" i="3" s="1"/>
  <c r="N451" i="3" a="1"/>
  <c r="N451" i="3" s="1"/>
  <c r="N450" i="3" a="1"/>
  <c r="N450" i="3" s="1"/>
  <c r="N449" i="3" a="1"/>
  <c r="N449" i="3" s="1"/>
  <c r="N448" i="3" a="1"/>
  <c r="N448" i="3" s="1"/>
  <c r="N447" i="3" a="1"/>
  <c r="N447" i="3" s="1"/>
  <c r="N446" i="3" a="1"/>
  <c r="N446" i="3" s="1"/>
  <c r="N445" i="3" a="1"/>
  <c r="N445" i="3" s="1"/>
  <c r="N444" i="3" a="1"/>
  <c r="N444" i="3" s="1"/>
  <c r="N443" i="3" a="1"/>
  <c r="N443" i="3" s="1"/>
  <c r="N442" i="3" a="1"/>
  <c r="N442" i="3" s="1"/>
  <c r="N441" i="3" a="1"/>
  <c r="N441" i="3" s="1"/>
  <c r="N440" i="3" a="1"/>
  <c r="N440" i="3" s="1"/>
  <c r="N439" i="3" a="1"/>
  <c r="N439" i="3" s="1"/>
  <c r="N438" i="3" a="1"/>
  <c r="N438" i="3" s="1"/>
  <c r="N437" i="3" a="1"/>
  <c r="N437" i="3" s="1"/>
  <c r="N436" i="3" a="1"/>
  <c r="N436" i="3" s="1"/>
  <c r="N435" i="3" a="1"/>
  <c r="N435" i="3" s="1"/>
  <c r="N434" i="3" a="1"/>
  <c r="N434" i="3" s="1"/>
  <c r="N433" i="3" a="1"/>
  <c r="N433" i="3" s="1"/>
  <c r="N432" i="3" a="1"/>
  <c r="N432" i="3" s="1"/>
  <c r="N431" i="3" a="1"/>
  <c r="N431" i="3" s="1"/>
  <c r="N430" i="3" a="1"/>
  <c r="N430" i="3" s="1"/>
  <c r="N429" i="3" a="1"/>
  <c r="N429" i="3" s="1"/>
  <c r="N428" i="3" a="1"/>
  <c r="N428" i="3" s="1"/>
  <c r="N427" i="3" a="1"/>
  <c r="N427" i="3" s="1"/>
  <c r="N426" i="3" a="1"/>
  <c r="N426" i="3" s="1"/>
  <c r="N425" i="3" a="1"/>
  <c r="N425" i="3" s="1"/>
  <c r="N424" i="3" a="1"/>
  <c r="N424" i="3" s="1"/>
  <c r="N423" i="3" a="1"/>
  <c r="N423" i="3" s="1"/>
  <c r="N422" i="3" a="1"/>
  <c r="N422" i="3" s="1"/>
  <c r="N421" i="3" a="1"/>
  <c r="N421" i="3" s="1"/>
  <c r="N420" i="3" a="1"/>
  <c r="N420" i="3" s="1"/>
  <c r="N419" i="3" a="1"/>
  <c r="N419" i="3" s="1"/>
  <c r="N418" i="3" a="1"/>
  <c r="N418" i="3" s="1"/>
  <c r="N417" i="3" a="1"/>
  <c r="N417" i="3" s="1"/>
  <c r="N416" i="3" a="1"/>
  <c r="N416" i="3" s="1"/>
  <c r="N415" i="3" a="1"/>
  <c r="N415" i="3" s="1"/>
  <c r="N414" i="3" a="1"/>
  <c r="N414" i="3" s="1"/>
  <c r="N413" i="3" a="1"/>
  <c r="N413" i="3" s="1"/>
  <c r="N412" i="3" a="1"/>
  <c r="N412" i="3" s="1"/>
  <c r="N411" i="3" a="1"/>
  <c r="N411" i="3" s="1"/>
  <c r="N410" i="3" a="1"/>
  <c r="N410" i="3" s="1"/>
  <c r="N409" i="3" a="1"/>
  <c r="N409" i="3" s="1"/>
  <c r="N408" i="3" a="1"/>
  <c r="N408" i="3" s="1"/>
  <c r="N407" i="3" a="1"/>
  <c r="N407" i="3" s="1"/>
  <c r="N406" i="3" a="1"/>
  <c r="N406" i="3" s="1"/>
  <c r="N405" i="3" a="1"/>
  <c r="N405" i="3" s="1"/>
  <c r="N404" i="3" a="1"/>
  <c r="N404" i="3" s="1"/>
  <c r="N403" i="3" a="1"/>
  <c r="N403" i="3" s="1"/>
  <c r="N402" i="3" a="1"/>
  <c r="N402" i="3" s="1"/>
  <c r="N401" i="3" a="1"/>
  <c r="N401" i="3" s="1"/>
  <c r="N400" i="3" a="1"/>
  <c r="N400" i="3" s="1"/>
  <c r="N399" i="3" a="1"/>
  <c r="N399" i="3" s="1"/>
  <c r="N398" i="3" a="1"/>
  <c r="N398" i="3" s="1"/>
  <c r="N397" i="3" a="1"/>
  <c r="N397" i="3" s="1"/>
  <c r="N396" i="3" a="1"/>
  <c r="N396" i="3" s="1"/>
  <c r="N395" i="3" a="1"/>
  <c r="N395" i="3" s="1"/>
  <c r="N394" i="3" a="1"/>
  <c r="N394" i="3" s="1"/>
  <c r="N393" i="3" a="1"/>
  <c r="N393" i="3" s="1"/>
  <c r="N392" i="3" a="1"/>
  <c r="N392" i="3" s="1"/>
  <c r="N391" i="3" a="1"/>
  <c r="N391" i="3" s="1"/>
  <c r="N390" i="3" a="1"/>
  <c r="N390" i="3" s="1"/>
  <c r="N389" i="3" a="1"/>
  <c r="N389" i="3" s="1"/>
  <c r="N388" i="3" a="1"/>
  <c r="N388" i="3" s="1"/>
  <c r="N387" i="3" a="1"/>
  <c r="N387" i="3" s="1"/>
  <c r="N386" i="3" a="1"/>
  <c r="N386" i="3" s="1"/>
  <c r="N385" i="3" a="1"/>
  <c r="N385" i="3" s="1"/>
  <c r="N384" i="3" a="1"/>
  <c r="N384" i="3" s="1"/>
  <c r="N383" i="3" a="1"/>
  <c r="N383" i="3" s="1"/>
  <c r="N382" i="3" a="1"/>
  <c r="N382" i="3" s="1"/>
  <c r="N381" i="3" a="1"/>
  <c r="N381" i="3" s="1"/>
  <c r="N380" i="3" a="1"/>
  <c r="N380" i="3" s="1"/>
  <c r="N379" i="3" a="1"/>
  <c r="N379" i="3" s="1"/>
  <c r="N378" i="3" a="1"/>
  <c r="N378" i="3" s="1"/>
  <c r="N377" i="3" a="1"/>
  <c r="N377" i="3" s="1"/>
  <c r="N376" i="3" a="1"/>
  <c r="N376" i="3" s="1"/>
  <c r="N375" i="3" a="1"/>
  <c r="N375" i="3" s="1"/>
  <c r="N374" i="3" a="1"/>
  <c r="N374" i="3" s="1"/>
  <c r="N373" i="3" a="1"/>
  <c r="N373" i="3" s="1"/>
  <c r="N372" i="3" a="1"/>
  <c r="N372" i="3" s="1"/>
  <c r="N371" i="3" a="1"/>
  <c r="N371" i="3" s="1"/>
  <c r="N370" i="3" a="1"/>
  <c r="N370" i="3" s="1"/>
  <c r="N369" i="3" a="1"/>
  <c r="N369" i="3" s="1"/>
  <c r="N368" i="3" a="1"/>
  <c r="N368" i="3" s="1"/>
  <c r="N367" i="3" a="1"/>
  <c r="N367" i="3" s="1"/>
  <c r="N366" i="3" a="1"/>
  <c r="N366" i="3" s="1"/>
  <c r="N365" i="3" a="1"/>
  <c r="N365" i="3" s="1"/>
  <c r="N364" i="3" a="1"/>
  <c r="N364" i="3" s="1"/>
  <c r="N363" i="3" a="1"/>
  <c r="N363" i="3" s="1"/>
  <c r="N362" i="3" a="1"/>
  <c r="N362" i="3" s="1"/>
  <c r="N361" i="3" a="1"/>
  <c r="N361" i="3" s="1"/>
  <c r="N360" i="3" a="1"/>
  <c r="N360" i="3" s="1"/>
  <c r="N359" i="3" a="1"/>
  <c r="N359" i="3" s="1"/>
  <c r="N358" i="3" a="1"/>
  <c r="N358" i="3" s="1"/>
  <c r="N357" i="3" a="1"/>
  <c r="N357" i="3" s="1"/>
  <c r="N356" i="3" a="1"/>
  <c r="N356" i="3" s="1"/>
  <c r="N355" i="3" a="1"/>
  <c r="N355" i="3" s="1"/>
  <c r="N354" i="3" a="1"/>
  <c r="N354" i="3" s="1"/>
  <c r="N353" i="3" a="1"/>
  <c r="N353" i="3" s="1"/>
  <c r="N352" i="3" a="1"/>
  <c r="N352" i="3" s="1"/>
  <c r="N351" i="3" a="1"/>
  <c r="N351" i="3" s="1"/>
  <c r="N350" i="3" a="1"/>
  <c r="N350" i="3" s="1"/>
  <c r="N349" i="3" a="1"/>
  <c r="N349" i="3" s="1"/>
  <c r="N348" i="3" a="1"/>
  <c r="N348" i="3" s="1"/>
  <c r="N347" i="3" a="1"/>
  <c r="N347" i="3" s="1"/>
  <c r="N346" i="3" a="1"/>
  <c r="N346" i="3" s="1"/>
  <c r="N345" i="3" a="1"/>
  <c r="N345" i="3" s="1"/>
  <c r="N344" i="3" a="1"/>
  <c r="N344" i="3" s="1"/>
  <c r="N343" i="3" a="1"/>
  <c r="N343" i="3" s="1"/>
  <c r="N342" i="3" a="1"/>
  <c r="N342" i="3" s="1"/>
  <c r="N341" i="3" a="1"/>
  <c r="N341" i="3" s="1"/>
  <c r="N340" i="3" a="1"/>
  <c r="N340" i="3" s="1"/>
  <c r="N339" i="3" a="1"/>
  <c r="N339" i="3" s="1"/>
  <c r="N338" i="3" a="1"/>
  <c r="N338" i="3" s="1"/>
  <c r="N337" i="3" a="1"/>
  <c r="N337" i="3" s="1"/>
  <c r="N336" i="3" a="1"/>
  <c r="N336" i="3" s="1"/>
  <c r="N335" i="3" a="1"/>
  <c r="N335" i="3" s="1"/>
  <c r="N334" i="3" a="1"/>
  <c r="N334" i="3" s="1"/>
  <c r="N333" i="3" a="1"/>
  <c r="N333" i="3" s="1"/>
  <c r="N332" i="3" a="1"/>
  <c r="N332" i="3" s="1"/>
  <c r="N331" i="3" a="1"/>
  <c r="N331" i="3" s="1"/>
  <c r="N330" i="3" a="1"/>
  <c r="N330" i="3" s="1"/>
  <c r="N329" i="3" a="1"/>
  <c r="N329" i="3" s="1"/>
  <c r="N328" i="3" a="1"/>
  <c r="N328" i="3" s="1"/>
  <c r="N327" i="3" a="1"/>
  <c r="N327" i="3" s="1"/>
  <c r="N326" i="3" a="1"/>
  <c r="N326" i="3" s="1"/>
  <c r="N325" i="3" a="1"/>
  <c r="N325" i="3" s="1"/>
  <c r="N324" i="3" a="1"/>
  <c r="N324" i="3" s="1"/>
  <c r="N323" i="3" a="1"/>
  <c r="N323" i="3" s="1"/>
  <c r="N322" i="3" a="1"/>
  <c r="N322" i="3" s="1"/>
  <c r="N321" i="3" a="1"/>
  <c r="N321" i="3" s="1"/>
  <c r="N320" i="3" a="1"/>
  <c r="N320" i="3" s="1"/>
  <c r="N319" i="3" a="1"/>
  <c r="N319" i="3" s="1"/>
  <c r="N318" i="3" a="1"/>
  <c r="N318" i="3" s="1"/>
  <c r="N317" i="3" a="1"/>
  <c r="N317" i="3" s="1"/>
  <c r="N316" i="3" a="1"/>
  <c r="N316" i="3" s="1"/>
  <c r="N315" i="3" a="1"/>
  <c r="N315" i="3" s="1"/>
  <c r="N314" i="3" a="1"/>
  <c r="N314" i="3" s="1"/>
  <c r="N313" i="3" a="1"/>
  <c r="N313" i="3" s="1"/>
  <c r="N312" i="3" a="1"/>
  <c r="N312" i="3" s="1"/>
  <c r="N311" i="3" a="1"/>
  <c r="N311" i="3" s="1"/>
  <c r="N310" i="3" a="1"/>
  <c r="N310" i="3" s="1"/>
  <c r="N309" i="3" a="1"/>
  <c r="N309" i="3" s="1"/>
  <c r="N308" i="3" a="1"/>
  <c r="N308" i="3" s="1"/>
  <c r="N307" i="3" a="1"/>
  <c r="N307" i="3" s="1"/>
  <c r="N306" i="3" a="1"/>
  <c r="N306" i="3" s="1"/>
  <c r="N305" i="3" a="1"/>
  <c r="N305" i="3" s="1"/>
  <c r="N304" i="3" a="1"/>
  <c r="N304" i="3" s="1"/>
  <c r="N303" i="3" a="1"/>
  <c r="N303" i="3" s="1"/>
  <c r="N302" i="3" a="1"/>
  <c r="N302" i="3" s="1"/>
  <c r="N301" i="3" a="1"/>
  <c r="N301" i="3" s="1"/>
  <c r="N300" i="3" a="1"/>
  <c r="N300" i="3" s="1"/>
  <c r="N299" i="3" a="1"/>
  <c r="N299" i="3" s="1"/>
  <c r="N298" i="3" a="1"/>
  <c r="N298" i="3" s="1"/>
  <c r="N297" i="3" a="1"/>
  <c r="N297" i="3" s="1"/>
  <c r="N296" i="3" a="1"/>
  <c r="N296" i="3" s="1"/>
  <c r="N295" i="3" a="1"/>
  <c r="N295" i="3" s="1"/>
  <c r="N294" i="3" a="1"/>
  <c r="N294" i="3" s="1"/>
  <c r="N293" i="3" a="1"/>
  <c r="N293" i="3" s="1"/>
  <c r="N292" i="3" a="1"/>
  <c r="N292" i="3" s="1"/>
  <c r="N291" i="3" a="1"/>
  <c r="N291" i="3" s="1"/>
  <c r="N290" i="3" a="1"/>
  <c r="N290" i="3" s="1"/>
  <c r="N289" i="3" a="1"/>
  <c r="N289" i="3" s="1"/>
  <c r="N288" i="3" a="1"/>
  <c r="N288" i="3" s="1"/>
  <c r="N287" i="3" a="1"/>
  <c r="N287" i="3" s="1"/>
  <c r="N286" i="3" a="1"/>
  <c r="N286" i="3" s="1"/>
  <c r="N285" i="3" a="1"/>
  <c r="N285" i="3" s="1"/>
  <c r="N284" i="3" a="1"/>
  <c r="N284" i="3" s="1"/>
  <c r="N283" i="3" a="1"/>
  <c r="N283" i="3" s="1"/>
  <c r="N282" i="3" a="1"/>
  <c r="N282" i="3" s="1"/>
  <c r="N281" i="3" a="1"/>
  <c r="N281" i="3" s="1"/>
  <c r="N280" i="3" a="1"/>
  <c r="N280" i="3" s="1"/>
  <c r="N279" i="3" a="1"/>
  <c r="N279" i="3" s="1"/>
  <c r="N278" i="3" a="1"/>
  <c r="N278" i="3" s="1"/>
  <c r="N277" i="3" a="1"/>
  <c r="N277" i="3" s="1"/>
  <c r="N276" i="3" a="1"/>
  <c r="N276" i="3" s="1"/>
  <c r="N275" i="3" a="1"/>
  <c r="N275" i="3" s="1"/>
  <c r="N274" i="3" a="1"/>
  <c r="N274" i="3" s="1"/>
  <c r="N273" i="3" a="1"/>
  <c r="N273" i="3" s="1"/>
  <c r="N272" i="3" a="1"/>
  <c r="N272" i="3" s="1"/>
  <c r="N271" i="3" a="1"/>
  <c r="N271" i="3" s="1"/>
  <c r="N270" i="3" a="1"/>
  <c r="N270" i="3" s="1"/>
  <c r="N269" i="3" a="1"/>
  <c r="N269" i="3" s="1"/>
  <c r="N268" i="3" a="1"/>
  <c r="N268" i="3" s="1"/>
  <c r="N267" i="3" a="1"/>
  <c r="N267" i="3" s="1"/>
  <c r="N266" i="3" a="1"/>
  <c r="N266" i="3" s="1"/>
  <c r="N265" i="3" a="1"/>
  <c r="N265" i="3" s="1"/>
  <c r="N264" i="3" a="1"/>
  <c r="N264" i="3" s="1"/>
  <c r="N263" i="3" a="1"/>
  <c r="N263" i="3" s="1"/>
  <c r="N262" i="3" a="1"/>
  <c r="N262" i="3" s="1"/>
  <c r="N261" i="3" a="1"/>
  <c r="N261" i="3" s="1"/>
  <c r="N260" i="3" a="1"/>
  <c r="N260" i="3" s="1"/>
  <c r="N259" i="3" a="1"/>
  <c r="N259" i="3" s="1"/>
  <c r="N258" i="3" a="1"/>
  <c r="N258" i="3" s="1"/>
  <c r="N257" i="3" a="1"/>
  <c r="N257" i="3" s="1"/>
  <c r="N256" i="3" a="1"/>
  <c r="N256" i="3" s="1"/>
  <c r="N255" i="3" a="1"/>
  <c r="N255" i="3" s="1"/>
  <c r="N254" i="3" a="1"/>
  <c r="N254" i="3" s="1"/>
  <c r="N253" i="3" a="1"/>
  <c r="N253" i="3" s="1"/>
  <c r="N252" i="3" a="1"/>
  <c r="N252" i="3" s="1"/>
  <c r="N251" i="3" a="1"/>
  <c r="N251" i="3" s="1"/>
  <c r="N250" i="3" a="1"/>
  <c r="N250" i="3" s="1"/>
  <c r="N249" i="3" a="1"/>
  <c r="N249" i="3" s="1"/>
  <c r="N248" i="3" a="1"/>
  <c r="N248" i="3" s="1"/>
  <c r="N247" i="3" a="1"/>
  <c r="N247" i="3" s="1"/>
  <c r="N246" i="3" a="1"/>
  <c r="N246" i="3" s="1"/>
  <c r="N245" i="3" a="1"/>
  <c r="N245" i="3" s="1"/>
  <c r="N244" i="3" a="1"/>
  <c r="N244" i="3" s="1"/>
  <c r="N243" i="3" a="1"/>
  <c r="N243" i="3" s="1"/>
  <c r="N242" i="3" a="1"/>
  <c r="N242" i="3" s="1"/>
  <c r="N241" i="3" a="1"/>
  <c r="N241" i="3" s="1"/>
  <c r="N240" i="3" a="1"/>
  <c r="N240" i="3" s="1"/>
  <c r="N239" i="3" a="1"/>
  <c r="N239" i="3" s="1"/>
  <c r="N238" i="3" a="1"/>
  <c r="N238" i="3" s="1"/>
  <c r="N237" i="3" a="1"/>
  <c r="N237" i="3" s="1"/>
  <c r="N236" i="3" a="1"/>
  <c r="N236" i="3" s="1"/>
  <c r="N235" i="3" a="1"/>
  <c r="N235" i="3" s="1"/>
  <c r="N234" i="3" a="1"/>
  <c r="N234" i="3" s="1"/>
  <c r="N233" i="3" a="1"/>
  <c r="N233" i="3" s="1"/>
  <c r="N232" i="3" a="1"/>
  <c r="N232" i="3" s="1"/>
  <c r="N231" i="3" a="1"/>
  <c r="N231" i="3" s="1"/>
  <c r="N230" i="3" a="1"/>
  <c r="N230" i="3" s="1"/>
  <c r="N229" i="3" a="1"/>
  <c r="N229" i="3" s="1"/>
  <c r="N228" i="3" a="1"/>
  <c r="N228" i="3" s="1"/>
  <c r="N227" i="3" a="1"/>
  <c r="N227" i="3" s="1"/>
  <c r="N226" i="3" a="1"/>
  <c r="N226" i="3" s="1"/>
  <c r="N225" i="3" a="1"/>
  <c r="N225" i="3" s="1"/>
  <c r="N224" i="3" a="1"/>
  <c r="N224" i="3" s="1"/>
  <c r="N223" i="3" a="1"/>
  <c r="N223" i="3" s="1"/>
  <c r="N222" i="3" a="1"/>
  <c r="N222" i="3" s="1"/>
  <c r="N221" i="3" a="1"/>
  <c r="N221" i="3" s="1"/>
  <c r="N220" i="3" a="1"/>
  <c r="N220" i="3" s="1"/>
  <c r="N219" i="3" a="1"/>
  <c r="N219" i="3" s="1"/>
  <c r="N218" i="3" a="1"/>
  <c r="N218" i="3" s="1"/>
  <c r="N217" i="3" a="1"/>
  <c r="N217" i="3" s="1"/>
  <c r="N216" i="3" a="1"/>
  <c r="N216" i="3" s="1"/>
  <c r="N215" i="3" a="1"/>
  <c r="N215" i="3" s="1"/>
  <c r="N214" i="3" a="1"/>
  <c r="N214" i="3" s="1"/>
  <c r="N213" i="3" a="1"/>
  <c r="N213" i="3" s="1"/>
  <c r="N212" i="3" a="1"/>
  <c r="N212" i="3" s="1"/>
  <c r="P19" i="3" s="1"/>
  <c r="N211" i="3" a="1"/>
  <c r="N211" i="3" s="1"/>
  <c r="N210" i="3" a="1"/>
  <c r="N210" i="3" s="1"/>
  <c r="N209" i="3" a="1"/>
  <c r="N209" i="3" s="1"/>
  <c r="N208" i="3" a="1"/>
  <c r="N208" i="3" s="1"/>
  <c r="N207" i="3" a="1"/>
  <c r="N207" i="3" s="1"/>
  <c r="N206" i="3" a="1"/>
  <c r="N206" i="3" s="1"/>
  <c r="N205" i="3" a="1"/>
  <c r="N205" i="3" s="1"/>
  <c r="N204" i="3" a="1"/>
  <c r="N204" i="3" s="1"/>
  <c r="N203" i="3" a="1"/>
  <c r="N203" i="3" s="1"/>
  <c r="N202" i="3" a="1"/>
  <c r="N202" i="3" s="1"/>
  <c r="N201" i="3" a="1"/>
  <c r="N201" i="3" s="1"/>
  <c r="N200" i="3" a="1"/>
  <c r="N200" i="3" s="1"/>
  <c r="N199" i="3" a="1"/>
  <c r="N199" i="3" s="1"/>
  <c r="N198" i="3" a="1"/>
  <c r="N198" i="3" s="1"/>
  <c r="N197" i="3" a="1"/>
  <c r="N197" i="3" s="1"/>
  <c r="N196" i="3" a="1"/>
  <c r="N196" i="3" s="1"/>
  <c r="N195" i="3" a="1"/>
  <c r="N195" i="3" s="1"/>
  <c r="N194" i="3" a="1"/>
  <c r="N194" i="3" s="1"/>
  <c r="N193" i="3" a="1"/>
  <c r="N193" i="3" s="1"/>
  <c r="N192" i="3" a="1"/>
  <c r="N192" i="3" s="1"/>
  <c r="N191" i="3" a="1"/>
  <c r="N191" i="3" s="1"/>
  <c r="N190" i="3" a="1"/>
  <c r="N190" i="3" s="1"/>
  <c r="N189" i="3" a="1"/>
  <c r="N189" i="3" s="1"/>
  <c r="N188" i="3" a="1"/>
  <c r="N188" i="3" s="1"/>
  <c r="N187" i="3" a="1"/>
  <c r="N187" i="3" s="1"/>
  <c r="N186" i="3" a="1"/>
  <c r="N186" i="3" s="1"/>
  <c r="N185" i="3" a="1"/>
  <c r="N185" i="3" s="1"/>
  <c r="N184" i="3" a="1"/>
  <c r="N184" i="3" s="1"/>
  <c r="N183" i="3" a="1"/>
  <c r="N183" i="3" s="1"/>
  <c r="N182" i="3" a="1"/>
  <c r="N182" i="3" s="1"/>
  <c r="N181" i="3" a="1"/>
  <c r="N181" i="3" s="1"/>
  <c r="N180" i="3" a="1"/>
  <c r="N180" i="3" s="1"/>
  <c r="N179" i="3" a="1"/>
  <c r="N179" i="3" s="1"/>
  <c r="N178" i="3" a="1"/>
  <c r="N178" i="3" s="1"/>
  <c r="N177" i="3" a="1"/>
  <c r="N177" i="3" s="1"/>
  <c r="N176" i="3" a="1"/>
  <c r="N176" i="3" s="1"/>
  <c r="N175" i="3" a="1"/>
  <c r="N175" i="3" s="1"/>
  <c r="N174" i="3" a="1"/>
  <c r="N174" i="3" s="1"/>
  <c r="N173" i="3" a="1"/>
  <c r="N173" i="3" s="1"/>
  <c r="N172" i="3" a="1"/>
  <c r="N172" i="3" s="1"/>
  <c r="N171" i="3" a="1"/>
  <c r="N171" i="3" s="1"/>
  <c r="N170" i="3" a="1"/>
  <c r="N170" i="3" s="1"/>
  <c r="N169" i="3" a="1"/>
  <c r="N169" i="3" s="1"/>
  <c r="N168" i="3" a="1"/>
  <c r="N168" i="3" s="1"/>
  <c r="N167" i="3" a="1"/>
  <c r="N167" i="3" s="1"/>
  <c r="N166" i="3" a="1"/>
  <c r="N166" i="3" s="1"/>
  <c r="N165" i="3" a="1"/>
  <c r="N165" i="3" s="1"/>
  <c r="N164" i="3" a="1"/>
  <c r="N164" i="3" s="1"/>
  <c r="N163" i="3" a="1"/>
  <c r="N163" i="3" s="1"/>
  <c r="N162" i="3" a="1"/>
  <c r="N162" i="3" s="1"/>
  <c r="N161" i="3" a="1"/>
  <c r="N161" i="3" s="1"/>
  <c r="N160" i="3" a="1"/>
  <c r="N160" i="3" s="1"/>
  <c r="N159" i="3" a="1"/>
  <c r="N159" i="3" s="1"/>
  <c r="N158" i="3" a="1"/>
  <c r="N158" i="3" s="1"/>
  <c r="N157" i="3" a="1"/>
  <c r="N157" i="3" s="1"/>
  <c r="N156" i="3" a="1"/>
  <c r="N156" i="3" s="1"/>
  <c r="N155" i="3" a="1"/>
  <c r="N155" i="3" s="1"/>
  <c r="N154" i="3" a="1"/>
  <c r="N154" i="3" s="1"/>
  <c r="N153" i="3" a="1"/>
  <c r="N153" i="3" s="1"/>
  <c r="N152" i="3" a="1"/>
  <c r="N152" i="3" s="1"/>
  <c r="N151" i="3" a="1"/>
  <c r="N151" i="3" s="1"/>
  <c r="N150" i="3" a="1"/>
  <c r="N150" i="3" s="1"/>
  <c r="N149" i="3" a="1"/>
  <c r="N149" i="3" s="1"/>
  <c r="N148" i="3" a="1"/>
  <c r="N148" i="3" s="1"/>
  <c r="N147" i="3" a="1"/>
  <c r="N147" i="3" s="1"/>
  <c r="N146" i="3" a="1"/>
  <c r="N146" i="3" s="1"/>
  <c r="N145" i="3" a="1"/>
  <c r="N145" i="3" s="1"/>
  <c r="N144" i="3" a="1"/>
  <c r="N144" i="3" s="1"/>
  <c r="N143" i="3" a="1"/>
  <c r="N143" i="3" s="1"/>
  <c r="N142" i="3" a="1"/>
  <c r="N142" i="3" s="1"/>
  <c r="N141" i="3" a="1"/>
  <c r="N141" i="3" s="1"/>
  <c r="N140" i="3" a="1"/>
  <c r="N140" i="3" s="1"/>
  <c r="N139" i="3" a="1"/>
  <c r="N139" i="3" s="1"/>
  <c r="N138" i="3" a="1"/>
  <c r="N138" i="3" s="1"/>
  <c r="N137" i="3" a="1"/>
  <c r="N137" i="3" s="1"/>
  <c r="N136" i="3" a="1"/>
  <c r="N136" i="3" s="1"/>
  <c r="N135" i="3" a="1"/>
  <c r="N135" i="3" s="1"/>
  <c r="N134" i="3" a="1"/>
  <c r="N134" i="3" s="1"/>
  <c r="N133" i="3" a="1"/>
  <c r="N133" i="3" s="1"/>
  <c r="N132" i="3" a="1"/>
  <c r="N132" i="3" s="1"/>
  <c r="N131" i="3" a="1"/>
  <c r="N131" i="3" s="1"/>
  <c r="N130" i="3" a="1"/>
  <c r="N130" i="3" s="1"/>
  <c r="N129" i="3" a="1"/>
  <c r="N129" i="3" s="1"/>
  <c r="N128" i="3" a="1"/>
  <c r="N128" i="3" s="1"/>
  <c r="N127" i="3" a="1"/>
  <c r="N127" i="3" s="1"/>
  <c r="N126" i="3" a="1"/>
  <c r="N126" i="3" s="1"/>
  <c r="N125" i="3" a="1"/>
  <c r="N125" i="3" s="1"/>
  <c r="N124" i="3" a="1"/>
  <c r="N124" i="3" s="1"/>
  <c r="N123" i="3" a="1"/>
  <c r="N123" i="3" s="1"/>
  <c r="N122" i="3" a="1"/>
  <c r="N122" i="3" s="1"/>
  <c r="N121" i="3" a="1"/>
  <c r="N121" i="3" s="1"/>
  <c r="N120" i="3" a="1"/>
  <c r="N120" i="3" s="1"/>
  <c r="N119" i="3" a="1"/>
  <c r="N119" i="3" s="1"/>
  <c r="N118" i="3" a="1"/>
  <c r="N118" i="3" s="1"/>
  <c r="N117" i="3" a="1"/>
  <c r="N117" i="3" s="1"/>
  <c r="N116" i="3" a="1"/>
  <c r="N116" i="3" s="1"/>
  <c r="N115" i="3" a="1"/>
  <c r="N115" i="3" s="1"/>
  <c r="N114" i="3" a="1"/>
  <c r="N114" i="3" s="1"/>
  <c r="N113" i="3" a="1"/>
  <c r="N113" i="3" s="1"/>
  <c r="N112" i="3" a="1"/>
  <c r="N112" i="3" s="1"/>
  <c r="N111" i="3" a="1"/>
  <c r="N111" i="3" s="1"/>
  <c r="N110" i="3" a="1"/>
  <c r="N110" i="3" s="1"/>
  <c r="N109" i="3" a="1"/>
  <c r="N109" i="3" s="1"/>
  <c r="N108" i="3" a="1"/>
  <c r="N108" i="3" s="1"/>
  <c r="N107" i="3" a="1"/>
  <c r="N107" i="3" s="1"/>
  <c r="N106" i="3" a="1"/>
  <c r="N106" i="3" s="1"/>
  <c r="N105" i="3" a="1"/>
  <c r="N105" i="3" s="1"/>
  <c r="N104" i="3" a="1"/>
  <c r="N104" i="3" s="1"/>
  <c r="N103" i="3" a="1"/>
  <c r="N103" i="3" s="1"/>
  <c r="N102" i="3" a="1"/>
  <c r="N102" i="3" s="1"/>
  <c r="N101" i="3" a="1"/>
  <c r="N101" i="3" s="1"/>
  <c r="N100" i="3" a="1"/>
  <c r="N100" i="3" s="1"/>
  <c r="N99" i="3" a="1"/>
  <c r="N99" i="3" s="1"/>
  <c r="N98" i="3" a="1"/>
  <c r="N98" i="3" s="1"/>
  <c r="N97" i="3" a="1"/>
  <c r="N97" i="3" s="1"/>
  <c r="N96" i="3" a="1"/>
  <c r="N96" i="3" s="1"/>
  <c r="N95" i="3" a="1"/>
  <c r="N95" i="3" s="1"/>
  <c r="N94" i="3" a="1"/>
  <c r="N94" i="3" s="1"/>
  <c r="N93" i="3" a="1"/>
  <c r="N93" i="3" s="1"/>
  <c r="N92" i="3" a="1"/>
  <c r="N92" i="3" s="1"/>
  <c r="N91" i="3" a="1"/>
  <c r="N91" i="3" s="1"/>
  <c r="N90" i="3" a="1"/>
  <c r="N90" i="3" s="1"/>
  <c r="N89" i="3" a="1"/>
  <c r="N89" i="3" s="1"/>
  <c r="N88" i="3" a="1"/>
  <c r="N88" i="3" s="1"/>
  <c r="N87" i="3" a="1"/>
  <c r="N87" i="3" s="1"/>
  <c r="N86" i="3" a="1"/>
  <c r="N86" i="3" s="1"/>
  <c r="N85" i="3" a="1"/>
  <c r="N85" i="3" s="1"/>
  <c r="N84" i="3" a="1"/>
  <c r="N84" i="3" s="1"/>
  <c r="N83" i="3" a="1"/>
  <c r="N83" i="3" s="1"/>
  <c r="N82" i="3" a="1"/>
  <c r="N82" i="3" s="1"/>
  <c r="N81" i="3" a="1"/>
  <c r="N81" i="3" s="1"/>
  <c r="N80" i="3" a="1"/>
  <c r="N80" i="3" s="1"/>
  <c r="N79" i="3" a="1"/>
  <c r="N79" i="3" s="1"/>
  <c r="N78" i="3" a="1"/>
  <c r="N78" i="3" s="1"/>
  <c r="N77" i="3" a="1"/>
  <c r="N77" i="3" s="1"/>
  <c r="N76" i="3" a="1"/>
  <c r="N76" i="3" s="1"/>
  <c r="N75" i="3" a="1"/>
  <c r="N75" i="3" s="1"/>
  <c r="N74" i="3" a="1"/>
  <c r="N74" i="3" s="1"/>
  <c r="N73" i="3" a="1"/>
  <c r="N73" i="3" s="1"/>
  <c r="N72" i="3" a="1"/>
  <c r="N72" i="3" s="1"/>
  <c r="N71" i="3" a="1"/>
  <c r="N71" i="3" s="1"/>
  <c r="N70" i="3" a="1"/>
  <c r="N70" i="3" s="1"/>
  <c r="N69" i="3" a="1"/>
  <c r="N69" i="3" s="1"/>
  <c r="N68" i="3" a="1"/>
  <c r="N68" i="3" s="1"/>
  <c r="N67" i="3" a="1"/>
  <c r="N67" i="3" s="1"/>
  <c r="N66" i="3" a="1"/>
  <c r="N66" i="3" s="1"/>
  <c r="N65" i="3" a="1"/>
  <c r="N65" i="3" s="1"/>
  <c r="N64" i="3" a="1"/>
  <c r="N64" i="3" s="1"/>
  <c r="N63" i="3" a="1"/>
  <c r="N63" i="3" s="1"/>
  <c r="N62" i="3" a="1"/>
  <c r="N62" i="3" s="1"/>
  <c r="N61" i="3" a="1"/>
  <c r="N61" i="3" s="1"/>
  <c r="N60" i="3" a="1"/>
  <c r="N60" i="3" s="1"/>
  <c r="N59" i="3" a="1"/>
  <c r="N59" i="3" s="1"/>
  <c r="N58" i="3" a="1"/>
  <c r="N58" i="3" s="1"/>
  <c r="N57" i="3" a="1"/>
  <c r="N57" i="3" s="1"/>
  <c r="N56" i="3" a="1"/>
  <c r="N56" i="3" s="1"/>
  <c r="N55" i="3" a="1"/>
  <c r="N55" i="3" s="1"/>
  <c r="N54" i="3" a="1"/>
  <c r="N54" i="3" s="1"/>
  <c r="N53" i="3" a="1"/>
  <c r="N53" i="3" s="1"/>
  <c r="N52" i="3" a="1"/>
  <c r="N52" i="3" s="1"/>
  <c r="N51" i="3" a="1"/>
  <c r="N51" i="3" s="1"/>
  <c r="N50" i="3" a="1"/>
  <c r="N50" i="3" s="1"/>
  <c r="N49" i="3" a="1"/>
  <c r="N49" i="3" s="1"/>
  <c r="N48" i="3" a="1"/>
  <c r="N48" i="3" s="1"/>
  <c r="N47" i="3" a="1"/>
  <c r="N47" i="3" s="1"/>
  <c r="N46" i="3" a="1"/>
  <c r="N46" i="3" s="1"/>
  <c r="N45" i="3" a="1"/>
  <c r="N45" i="3" s="1"/>
  <c r="N44" i="3" a="1"/>
  <c r="N44" i="3" s="1"/>
  <c r="N43" i="3" a="1"/>
  <c r="N43" i="3" s="1"/>
  <c r="N42" i="3" a="1"/>
  <c r="N42" i="3" s="1"/>
  <c r="N41" i="3" a="1"/>
  <c r="N41" i="3" s="1"/>
  <c r="N40" i="3" a="1"/>
  <c r="N40" i="3" s="1"/>
  <c r="N39" i="3" a="1"/>
  <c r="N39" i="3" s="1"/>
  <c r="N38" i="3" a="1"/>
  <c r="N38" i="3" s="1"/>
  <c r="N37" i="3" a="1"/>
  <c r="N37" i="3" s="1"/>
  <c r="N36" i="3" a="1"/>
  <c r="N36" i="3" s="1"/>
  <c r="N35" i="3" a="1"/>
  <c r="N35" i="3" s="1"/>
  <c r="N34" i="3" a="1"/>
  <c r="N34" i="3" s="1"/>
  <c r="N33" i="3" a="1"/>
  <c r="N33" i="3" s="1"/>
  <c r="N32" i="3" a="1"/>
  <c r="N32" i="3" s="1"/>
  <c r="N31" i="3" a="1"/>
  <c r="N31" i="3" s="1"/>
  <c r="N30" i="3" a="1"/>
  <c r="N30" i="3" s="1"/>
  <c r="N29" i="3" a="1"/>
  <c r="N29" i="3" s="1"/>
  <c r="N28" i="3" a="1"/>
  <c r="N28" i="3" s="1"/>
  <c r="N27" i="3" a="1"/>
  <c r="N27" i="3" s="1"/>
  <c r="N26" i="3" a="1"/>
  <c r="N26" i="3" s="1"/>
  <c r="N25" i="3" a="1"/>
  <c r="N25" i="3" s="1"/>
  <c r="N24" i="3" a="1"/>
  <c r="N24" i="3" s="1"/>
  <c r="N23" i="3" a="1"/>
  <c r="N23" i="3" s="1"/>
  <c r="N22" i="3" a="1"/>
  <c r="N22" i="3" s="1"/>
  <c r="N21" i="3" a="1"/>
  <c r="N21" i="3" s="1"/>
  <c r="N20" i="3" a="1"/>
  <c r="N20" i="3" s="1"/>
  <c r="N19" i="3" a="1"/>
  <c r="N19" i="3" s="1"/>
  <c r="N18" i="3" a="1"/>
  <c r="N18" i="3" s="1"/>
  <c r="N17" i="3" a="1"/>
  <c r="N17" i="3" s="1"/>
  <c r="N16" i="3" a="1"/>
  <c r="N16" i="3" s="1"/>
  <c r="N15" i="3" a="1"/>
  <c r="N15" i="3" s="1"/>
  <c r="N14" i="3" a="1"/>
  <c r="N14" i="3" s="1"/>
  <c r="N13" i="3" a="1"/>
  <c r="N13" i="3" s="1"/>
  <c r="N12" i="3" a="1"/>
  <c r="N12" i="3" s="1"/>
  <c r="N11" i="3" a="1"/>
  <c r="N11" i="3" s="1"/>
  <c r="N10" i="3" a="1"/>
  <c r="N10" i="3" s="1"/>
  <c r="N9" i="3" a="1"/>
  <c r="N9" i="3" s="1"/>
  <c r="N8" i="3" a="1"/>
  <c r="N8" i="3" s="1"/>
  <c r="N7" i="3" a="1"/>
  <c r="N7" i="3" s="1"/>
  <c r="N6" i="3" a="1"/>
  <c r="N6" i="3" s="1"/>
  <c r="N5" i="3" a="1"/>
  <c r="N5" i="3" s="1"/>
  <c r="N4" i="3" a="1"/>
  <c r="N4" i="3" s="1"/>
  <c r="N3" i="3" a="1"/>
  <c r="N3" i="3" s="1"/>
  <c r="S37" i="3"/>
  <c r="S32" i="3"/>
  <c r="P32" i="3"/>
  <c r="S28" i="3"/>
  <c r="P28" i="3"/>
  <c r="S24" i="3"/>
  <c r="P24" i="3"/>
  <c r="M2" i="3"/>
  <c r="L2" i="3"/>
  <c r="P38" i="3"/>
  <c r="S33" i="3"/>
  <c r="P33" i="3"/>
  <c r="S27" i="3"/>
  <c r="P27" i="3"/>
  <c r="S23" i="3"/>
  <c r="P23" i="3"/>
  <c r="M3" i="3"/>
  <c r="L3" i="3"/>
  <c r="S39" i="3"/>
  <c r="S34" i="3"/>
  <c r="P34" i="3"/>
  <c r="S29" i="3"/>
  <c r="P29" i="3"/>
  <c r="M4" i="3"/>
  <c r="L4" i="3"/>
  <c r="S38" i="3"/>
  <c r="M5" i="3"/>
  <c r="L5" i="3"/>
  <c r="M6" i="3"/>
  <c r="L6" i="3"/>
  <c r="P37" i="3"/>
  <c r="M7" i="3"/>
  <c r="L7" i="3"/>
  <c r="M8" i="3"/>
  <c r="L8" i="3"/>
  <c r="M9" i="3"/>
  <c r="L9" i="3"/>
  <c r="M10" i="3"/>
  <c r="L10" i="3"/>
  <c r="M11" i="3"/>
  <c r="L11" i="3"/>
  <c r="M12" i="3"/>
  <c r="L12" i="3"/>
  <c r="M13" i="3"/>
  <c r="L13" i="3"/>
  <c r="M14" i="3"/>
  <c r="L14" i="3"/>
  <c r="M15" i="3"/>
  <c r="L15" i="3"/>
  <c r="P39" i="3"/>
  <c r="M16" i="3"/>
  <c r="L16" i="3"/>
  <c r="M17" i="3"/>
  <c r="L17" i="3"/>
  <c r="M18" i="3"/>
  <c r="L18" i="3"/>
  <c r="M19" i="3"/>
  <c r="L19" i="3"/>
  <c r="M20" i="3"/>
  <c r="L20" i="3"/>
  <c r="M21" i="3"/>
  <c r="L21" i="3"/>
  <c r="M22" i="3"/>
  <c r="L22" i="3"/>
  <c r="M23" i="3"/>
  <c r="L23" i="3"/>
  <c r="M24" i="3"/>
  <c r="L24" i="3"/>
  <c r="M25" i="3"/>
  <c r="L25" i="3"/>
  <c r="M26" i="3"/>
  <c r="L26" i="3"/>
  <c r="M27" i="3"/>
  <c r="L27" i="3"/>
  <c r="M28" i="3"/>
  <c r="L28" i="3"/>
  <c r="M29" i="3"/>
  <c r="L29" i="3"/>
  <c r="M30" i="3"/>
  <c r="L30" i="3"/>
  <c r="M31" i="3"/>
  <c r="L31" i="3"/>
  <c r="M32" i="3"/>
  <c r="L32" i="3"/>
  <c r="M33" i="3"/>
  <c r="L33" i="3"/>
  <c r="M34" i="3"/>
  <c r="L34" i="3"/>
  <c r="M35" i="3"/>
  <c r="L35" i="3"/>
  <c r="M36" i="3"/>
  <c r="L36" i="3"/>
  <c r="M37" i="3"/>
  <c r="L37" i="3"/>
  <c r="M38" i="3"/>
  <c r="L38" i="3"/>
  <c r="M39" i="3"/>
  <c r="L39" i="3"/>
  <c r="M40" i="3"/>
  <c r="L40" i="3"/>
  <c r="M41" i="3"/>
  <c r="L41" i="3"/>
  <c r="M42" i="3"/>
  <c r="L42" i="3"/>
  <c r="M43" i="3"/>
  <c r="L43" i="3"/>
  <c r="M44" i="3"/>
  <c r="L44" i="3"/>
  <c r="M45" i="3"/>
  <c r="L45" i="3"/>
  <c r="M46" i="3"/>
  <c r="L46" i="3"/>
  <c r="M47" i="3"/>
  <c r="L47" i="3"/>
  <c r="M48" i="3"/>
  <c r="L48" i="3"/>
  <c r="M49" i="3"/>
  <c r="L49" i="3"/>
  <c r="M50" i="3"/>
  <c r="L50" i="3"/>
  <c r="M51" i="3"/>
  <c r="L51" i="3"/>
  <c r="M52" i="3"/>
  <c r="L52" i="3"/>
  <c r="M53" i="3"/>
  <c r="L53" i="3"/>
  <c r="M54" i="3"/>
  <c r="L54" i="3"/>
  <c r="M55" i="3"/>
  <c r="L55" i="3"/>
  <c r="M56" i="3"/>
  <c r="L56" i="3"/>
  <c r="M57" i="3"/>
  <c r="L57" i="3"/>
  <c r="M58" i="3"/>
  <c r="L58" i="3"/>
  <c r="M59" i="3"/>
  <c r="L59" i="3"/>
  <c r="M60" i="3"/>
  <c r="L60" i="3"/>
  <c r="M61" i="3"/>
  <c r="L61" i="3"/>
  <c r="M62" i="3"/>
  <c r="L62" i="3"/>
  <c r="M63" i="3"/>
  <c r="L63" i="3"/>
  <c r="M64" i="3"/>
  <c r="L64" i="3"/>
  <c r="M65" i="3"/>
  <c r="L65" i="3"/>
  <c r="M66" i="3"/>
  <c r="L66" i="3"/>
  <c r="M67" i="3"/>
  <c r="L67" i="3"/>
  <c r="M68" i="3"/>
  <c r="L68" i="3"/>
  <c r="M69" i="3"/>
  <c r="L69" i="3"/>
  <c r="M70" i="3"/>
  <c r="L70" i="3"/>
  <c r="M71" i="3"/>
  <c r="L71" i="3"/>
  <c r="M72" i="3"/>
  <c r="L72" i="3"/>
  <c r="M73" i="3"/>
  <c r="L73" i="3"/>
  <c r="M74" i="3"/>
  <c r="L74" i="3"/>
  <c r="M75" i="3"/>
  <c r="L75" i="3"/>
  <c r="M76" i="3"/>
  <c r="L76" i="3"/>
  <c r="M77" i="3"/>
  <c r="L77" i="3"/>
  <c r="M78" i="3"/>
  <c r="L78" i="3"/>
  <c r="M79" i="3"/>
  <c r="L79" i="3"/>
  <c r="M80" i="3"/>
  <c r="L80" i="3"/>
  <c r="M81" i="3"/>
  <c r="L81" i="3"/>
  <c r="M82" i="3"/>
  <c r="L82" i="3"/>
  <c r="M83" i="3"/>
  <c r="L83" i="3"/>
  <c r="M84" i="3"/>
  <c r="L84" i="3"/>
  <c r="M85" i="3"/>
  <c r="L85" i="3"/>
  <c r="M86" i="3"/>
  <c r="L86" i="3"/>
  <c r="M87" i="3"/>
  <c r="L87" i="3"/>
  <c r="M88" i="3"/>
  <c r="L88" i="3"/>
  <c r="M89" i="3"/>
  <c r="L89" i="3"/>
  <c r="M90" i="3"/>
  <c r="L90" i="3"/>
  <c r="M91" i="3"/>
  <c r="L91" i="3"/>
  <c r="M92" i="3"/>
  <c r="L92" i="3"/>
  <c r="M93" i="3"/>
  <c r="L93" i="3"/>
  <c r="M94" i="3"/>
  <c r="L94" i="3"/>
  <c r="M95" i="3"/>
  <c r="L95" i="3"/>
  <c r="M96" i="3"/>
  <c r="L96" i="3"/>
  <c r="M97" i="3"/>
  <c r="L97" i="3"/>
  <c r="M98" i="3"/>
  <c r="L98" i="3"/>
  <c r="M99" i="3"/>
  <c r="L99" i="3"/>
  <c r="M100" i="3"/>
  <c r="L100" i="3"/>
  <c r="M101" i="3"/>
  <c r="L101" i="3"/>
  <c r="M102" i="3"/>
  <c r="L102" i="3"/>
  <c r="M103" i="3"/>
  <c r="L103" i="3"/>
  <c r="M104" i="3"/>
  <c r="L104" i="3"/>
  <c r="M105" i="3"/>
  <c r="L105" i="3"/>
  <c r="M106" i="3"/>
  <c r="L106" i="3"/>
  <c r="M107" i="3"/>
  <c r="L107" i="3"/>
  <c r="M108" i="3"/>
  <c r="L108" i="3"/>
  <c r="M109" i="3"/>
  <c r="L109" i="3"/>
  <c r="M110" i="3"/>
  <c r="L110" i="3"/>
  <c r="M111" i="3"/>
  <c r="L111" i="3"/>
  <c r="M112" i="3"/>
  <c r="L112" i="3"/>
  <c r="M113" i="3"/>
  <c r="L113" i="3"/>
  <c r="M114" i="3"/>
  <c r="L114" i="3"/>
  <c r="M115" i="3"/>
  <c r="L115" i="3"/>
  <c r="M116" i="3"/>
  <c r="L116" i="3"/>
  <c r="M117" i="3"/>
  <c r="L117" i="3"/>
  <c r="M118" i="3"/>
  <c r="L118" i="3"/>
  <c r="M119" i="3"/>
  <c r="L119" i="3"/>
  <c r="M120" i="3"/>
  <c r="L120" i="3"/>
  <c r="M121" i="3"/>
  <c r="L121" i="3"/>
  <c r="M122" i="3"/>
  <c r="L122" i="3"/>
  <c r="M123" i="3"/>
  <c r="L123" i="3"/>
  <c r="M124" i="3"/>
  <c r="L124" i="3"/>
  <c r="M125" i="3"/>
  <c r="L125" i="3"/>
  <c r="M126" i="3"/>
  <c r="L126" i="3"/>
  <c r="M127" i="3"/>
  <c r="L127" i="3"/>
  <c r="M128" i="3"/>
  <c r="L128" i="3"/>
  <c r="M129" i="3"/>
  <c r="L129" i="3"/>
  <c r="M130" i="3"/>
  <c r="L130" i="3"/>
  <c r="M131" i="3"/>
  <c r="L131" i="3"/>
  <c r="M132" i="3"/>
  <c r="L132" i="3"/>
  <c r="M133" i="3"/>
  <c r="L133" i="3"/>
  <c r="M134" i="3"/>
  <c r="L134" i="3"/>
  <c r="M135" i="3"/>
  <c r="L135" i="3"/>
  <c r="M136" i="3"/>
  <c r="L136" i="3"/>
  <c r="M137" i="3"/>
  <c r="L137" i="3"/>
  <c r="M138" i="3"/>
  <c r="L138" i="3"/>
  <c r="M139" i="3"/>
  <c r="L139" i="3"/>
  <c r="M140" i="3"/>
  <c r="L140" i="3"/>
  <c r="M141" i="3"/>
  <c r="L141" i="3"/>
  <c r="M142" i="3"/>
  <c r="L142" i="3"/>
  <c r="M143" i="3"/>
  <c r="L143" i="3"/>
  <c r="M144" i="3"/>
  <c r="L144" i="3"/>
  <c r="M145" i="3"/>
  <c r="L145" i="3"/>
  <c r="M146" i="3"/>
  <c r="L146" i="3"/>
  <c r="M147" i="3"/>
  <c r="L147" i="3"/>
  <c r="M148" i="3"/>
  <c r="L148" i="3"/>
  <c r="M149" i="3"/>
  <c r="L149" i="3"/>
  <c r="M150" i="3"/>
  <c r="L150" i="3"/>
  <c r="M151" i="3"/>
  <c r="L151" i="3"/>
  <c r="M152" i="3"/>
  <c r="L152" i="3"/>
  <c r="M153" i="3"/>
  <c r="L153" i="3"/>
  <c r="M154" i="3"/>
  <c r="L154" i="3"/>
  <c r="M155" i="3"/>
  <c r="L155" i="3"/>
  <c r="M156" i="3"/>
  <c r="L156" i="3"/>
  <c r="M157" i="3"/>
  <c r="L157" i="3"/>
  <c r="M158" i="3"/>
  <c r="L158" i="3"/>
  <c r="M159" i="3"/>
  <c r="L159" i="3"/>
  <c r="M160" i="3"/>
  <c r="L160" i="3"/>
  <c r="M161" i="3"/>
  <c r="L161" i="3"/>
  <c r="M162" i="3"/>
  <c r="L162" i="3"/>
  <c r="M163" i="3"/>
  <c r="L163" i="3"/>
  <c r="M164" i="3"/>
  <c r="L164" i="3"/>
  <c r="M165" i="3"/>
  <c r="L165" i="3"/>
  <c r="M166" i="3"/>
  <c r="L166" i="3"/>
  <c r="M167" i="3"/>
  <c r="L167" i="3"/>
  <c r="M168" i="3"/>
  <c r="L168" i="3"/>
  <c r="M169" i="3"/>
  <c r="L169" i="3"/>
  <c r="M170" i="3"/>
  <c r="L170" i="3"/>
  <c r="M171" i="3"/>
  <c r="L171" i="3"/>
  <c r="M172" i="3"/>
  <c r="L172" i="3"/>
  <c r="M173" i="3"/>
  <c r="L173" i="3"/>
  <c r="M174" i="3"/>
  <c r="L174" i="3"/>
  <c r="M175" i="3"/>
  <c r="L175" i="3"/>
  <c r="M176" i="3"/>
  <c r="L176" i="3"/>
  <c r="M177" i="3"/>
  <c r="L177" i="3"/>
  <c r="M178" i="3"/>
  <c r="L178" i="3"/>
  <c r="M179" i="3"/>
  <c r="L179" i="3"/>
  <c r="M180" i="3"/>
  <c r="L180" i="3"/>
  <c r="M181" i="3"/>
  <c r="L181" i="3"/>
  <c r="M182" i="3"/>
  <c r="L182" i="3"/>
  <c r="M183" i="3"/>
  <c r="L183" i="3"/>
  <c r="M184" i="3"/>
  <c r="L184" i="3"/>
  <c r="M185" i="3"/>
  <c r="L185" i="3"/>
  <c r="M186" i="3"/>
  <c r="L186" i="3"/>
  <c r="M187" i="3"/>
  <c r="L187" i="3"/>
  <c r="M188" i="3"/>
  <c r="L188" i="3"/>
  <c r="M189" i="3"/>
  <c r="L189" i="3"/>
  <c r="M190" i="3"/>
  <c r="L190" i="3"/>
  <c r="M191" i="3"/>
  <c r="L191" i="3"/>
  <c r="M192" i="3"/>
  <c r="L192" i="3"/>
  <c r="M193" i="3"/>
  <c r="L193" i="3"/>
  <c r="M194" i="3"/>
  <c r="L194" i="3"/>
  <c r="M195" i="3"/>
  <c r="L195" i="3"/>
  <c r="M196" i="3"/>
  <c r="L196" i="3"/>
  <c r="M197" i="3"/>
  <c r="L197" i="3"/>
  <c r="M198" i="3"/>
  <c r="L198" i="3"/>
  <c r="M199" i="3"/>
  <c r="L199" i="3"/>
  <c r="M200" i="3"/>
  <c r="L200" i="3"/>
  <c r="M201" i="3"/>
  <c r="L201" i="3"/>
  <c r="M202" i="3"/>
  <c r="L202" i="3"/>
  <c r="M203" i="3"/>
  <c r="L203" i="3"/>
  <c r="M204" i="3"/>
  <c r="L204" i="3"/>
  <c r="M205" i="3"/>
  <c r="L205" i="3"/>
  <c r="M206" i="3"/>
  <c r="L206" i="3"/>
  <c r="M207" i="3"/>
  <c r="L207" i="3"/>
  <c r="M208" i="3"/>
  <c r="L208" i="3"/>
  <c r="M209" i="3"/>
  <c r="L209" i="3"/>
  <c r="M210" i="3"/>
  <c r="L210" i="3"/>
  <c r="M211" i="3"/>
  <c r="L211" i="3"/>
  <c r="M212" i="3"/>
  <c r="L212" i="3"/>
  <c r="M213" i="3"/>
  <c r="L213" i="3"/>
  <c r="M214" i="3"/>
  <c r="L214" i="3"/>
  <c r="M215" i="3"/>
  <c r="L215" i="3"/>
  <c r="M216" i="3"/>
  <c r="L216" i="3"/>
  <c r="M217" i="3"/>
  <c r="L217" i="3"/>
  <c r="M218" i="3"/>
  <c r="L218" i="3"/>
  <c r="M219" i="3"/>
  <c r="L219" i="3"/>
  <c r="M220" i="3"/>
  <c r="L220" i="3"/>
  <c r="M221" i="3"/>
  <c r="L221" i="3"/>
  <c r="M222" i="3"/>
  <c r="L222" i="3"/>
  <c r="M223" i="3"/>
  <c r="L223" i="3"/>
  <c r="M224" i="3"/>
  <c r="L224" i="3"/>
  <c r="M225" i="3"/>
  <c r="L225" i="3"/>
  <c r="M226" i="3"/>
  <c r="L226" i="3"/>
  <c r="M227" i="3"/>
  <c r="L227" i="3"/>
  <c r="M228" i="3"/>
  <c r="L228" i="3"/>
  <c r="M229" i="3"/>
  <c r="L229" i="3"/>
  <c r="M230" i="3"/>
  <c r="L230" i="3"/>
  <c r="M231" i="3"/>
  <c r="L231" i="3"/>
  <c r="M232" i="3"/>
  <c r="L232" i="3"/>
  <c r="M233" i="3"/>
  <c r="L233" i="3"/>
  <c r="M234" i="3"/>
  <c r="L234" i="3"/>
  <c r="M235" i="3"/>
  <c r="L235" i="3"/>
  <c r="M236" i="3"/>
  <c r="L236" i="3"/>
  <c r="M237" i="3"/>
  <c r="L237" i="3"/>
  <c r="M238" i="3"/>
  <c r="L238" i="3"/>
  <c r="M239" i="3"/>
  <c r="L239" i="3"/>
  <c r="M240" i="3"/>
  <c r="L240" i="3"/>
  <c r="M241" i="3"/>
  <c r="L241" i="3"/>
  <c r="M242" i="3"/>
  <c r="L242" i="3"/>
  <c r="M243" i="3"/>
  <c r="L243" i="3"/>
  <c r="M244" i="3"/>
  <c r="L244" i="3"/>
  <c r="M245" i="3"/>
  <c r="L245" i="3"/>
  <c r="M246" i="3"/>
  <c r="L246" i="3"/>
  <c r="M247" i="3"/>
  <c r="L247" i="3"/>
  <c r="M248" i="3"/>
  <c r="L248" i="3"/>
  <c r="M249" i="3"/>
  <c r="L249" i="3"/>
  <c r="M250" i="3"/>
  <c r="L250" i="3"/>
  <c r="M251" i="3"/>
  <c r="L251" i="3"/>
  <c r="M252" i="3"/>
  <c r="L252" i="3"/>
  <c r="M253" i="3"/>
  <c r="L253" i="3"/>
  <c r="M254" i="3"/>
  <c r="L254" i="3"/>
  <c r="M255" i="3"/>
  <c r="L255" i="3"/>
  <c r="M256" i="3"/>
  <c r="L256" i="3"/>
  <c r="M257" i="3"/>
  <c r="L257" i="3"/>
  <c r="M258" i="3"/>
  <c r="L258" i="3"/>
  <c r="M259" i="3"/>
  <c r="L259" i="3"/>
  <c r="M260" i="3"/>
  <c r="L260" i="3"/>
  <c r="M261" i="3"/>
  <c r="L261" i="3"/>
  <c r="M262" i="3"/>
  <c r="L262" i="3"/>
  <c r="M263" i="3"/>
  <c r="L263" i="3"/>
  <c r="M264" i="3"/>
  <c r="L264" i="3"/>
  <c r="M265" i="3"/>
  <c r="L265" i="3"/>
  <c r="M266" i="3"/>
  <c r="L266" i="3"/>
  <c r="M267" i="3"/>
  <c r="L267" i="3"/>
  <c r="M268" i="3"/>
  <c r="L268" i="3"/>
  <c r="M269" i="3"/>
  <c r="L269" i="3"/>
  <c r="M270" i="3"/>
  <c r="L270" i="3"/>
  <c r="M271" i="3"/>
  <c r="L271" i="3"/>
  <c r="M272" i="3"/>
  <c r="L272" i="3"/>
  <c r="M273" i="3"/>
  <c r="L273" i="3"/>
  <c r="M274" i="3"/>
  <c r="L274" i="3"/>
  <c r="M275" i="3"/>
  <c r="L275" i="3"/>
  <c r="M276" i="3"/>
  <c r="L276" i="3"/>
  <c r="M277" i="3"/>
  <c r="L277" i="3"/>
  <c r="M278" i="3"/>
  <c r="L278" i="3"/>
  <c r="M279" i="3"/>
  <c r="L279" i="3"/>
  <c r="M280" i="3"/>
  <c r="L280" i="3"/>
  <c r="M281" i="3"/>
  <c r="L281" i="3"/>
  <c r="M282" i="3"/>
  <c r="L282" i="3"/>
  <c r="M283" i="3"/>
  <c r="L283" i="3"/>
  <c r="M284" i="3"/>
  <c r="L284" i="3"/>
  <c r="M285" i="3"/>
  <c r="L285" i="3"/>
  <c r="M286" i="3"/>
  <c r="L286" i="3"/>
  <c r="M287" i="3"/>
  <c r="L287" i="3"/>
  <c r="M288" i="3"/>
  <c r="L288" i="3"/>
  <c r="M289" i="3"/>
  <c r="L289" i="3"/>
  <c r="M290" i="3"/>
  <c r="L290" i="3"/>
  <c r="M291" i="3"/>
  <c r="L291" i="3"/>
  <c r="M292" i="3"/>
  <c r="L292" i="3"/>
  <c r="M293" i="3"/>
  <c r="L293" i="3"/>
  <c r="M294" i="3"/>
  <c r="L294" i="3"/>
  <c r="M295" i="3"/>
  <c r="L295" i="3"/>
  <c r="M296" i="3"/>
  <c r="L296" i="3"/>
  <c r="M297" i="3"/>
  <c r="L297" i="3"/>
  <c r="M298" i="3"/>
  <c r="L298" i="3"/>
  <c r="M299" i="3"/>
  <c r="L299" i="3"/>
  <c r="M300" i="3"/>
  <c r="L300" i="3"/>
  <c r="M301" i="3"/>
  <c r="L301" i="3"/>
  <c r="M302" i="3"/>
  <c r="L302" i="3"/>
  <c r="M303" i="3"/>
  <c r="L303" i="3"/>
  <c r="M304" i="3"/>
  <c r="L304" i="3"/>
  <c r="M305" i="3"/>
  <c r="L305" i="3"/>
  <c r="M306" i="3"/>
  <c r="L306" i="3"/>
  <c r="M307" i="3"/>
  <c r="L307" i="3"/>
  <c r="M308" i="3"/>
  <c r="L308" i="3"/>
  <c r="M309" i="3"/>
  <c r="L309" i="3"/>
  <c r="M310" i="3"/>
  <c r="L310" i="3"/>
  <c r="M311" i="3"/>
  <c r="L311" i="3"/>
  <c r="M312" i="3"/>
  <c r="L312" i="3"/>
  <c r="M313" i="3"/>
  <c r="L313" i="3"/>
  <c r="M314" i="3"/>
  <c r="L314" i="3"/>
  <c r="M315" i="3"/>
  <c r="L315" i="3"/>
  <c r="M316" i="3"/>
  <c r="L316" i="3"/>
  <c r="M317" i="3"/>
  <c r="L317" i="3"/>
  <c r="M318" i="3"/>
  <c r="L318" i="3"/>
  <c r="M319" i="3"/>
  <c r="L319" i="3"/>
  <c r="M320" i="3"/>
  <c r="L320" i="3"/>
  <c r="M321" i="3"/>
  <c r="L321" i="3"/>
  <c r="M322" i="3"/>
  <c r="L322" i="3"/>
  <c r="M323" i="3"/>
  <c r="L323" i="3"/>
  <c r="M324" i="3"/>
  <c r="L324" i="3"/>
  <c r="M325" i="3"/>
  <c r="L325" i="3"/>
  <c r="M326" i="3"/>
  <c r="L326" i="3"/>
  <c r="M327" i="3"/>
  <c r="L327" i="3"/>
  <c r="M328" i="3"/>
  <c r="L328" i="3"/>
  <c r="M329" i="3"/>
  <c r="L329" i="3"/>
  <c r="M330" i="3"/>
  <c r="L330" i="3"/>
  <c r="M331" i="3"/>
  <c r="L331" i="3"/>
  <c r="M332" i="3"/>
  <c r="L332" i="3"/>
  <c r="M333" i="3"/>
  <c r="L333" i="3"/>
  <c r="M334" i="3"/>
  <c r="L334" i="3"/>
  <c r="M335" i="3"/>
  <c r="L335" i="3"/>
  <c r="M336" i="3"/>
  <c r="L336" i="3"/>
  <c r="M337" i="3"/>
  <c r="L337" i="3"/>
  <c r="M338" i="3"/>
  <c r="L338" i="3"/>
  <c r="M339" i="3"/>
  <c r="L339" i="3"/>
  <c r="M340" i="3"/>
  <c r="L340" i="3"/>
  <c r="M341" i="3"/>
  <c r="L341" i="3"/>
  <c r="M342" i="3"/>
  <c r="L342" i="3"/>
  <c r="M343" i="3"/>
  <c r="L343" i="3"/>
  <c r="M344" i="3"/>
  <c r="L344" i="3"/>
  <c r="M345" i="3"/>
  <c r="L345" i="3"/>
  <c r="M346" i="3"/>
  <c r="L346" i="3"/>
  <c r="M347" i="3"/>
  <c r="L347" i="3"/>
  <c r="M348" i="3"/>
  <c r="L348" i="3"/>
  <c r="M349" i="3"/>
  <c r="L349" i="3"/>
  <c r="M350" i="3"/>
  <c r="L350" i="3"/>
  <c r="M351" i="3"/>
  <c r="L351" i="3"/>
  <c r="M352" i="3"/>
  <c r="L352" i="3"/>
  <c r="M353" i="3"/>
  <c r="L353" i="3"/>
  <c r="M354" i="3"/>
  <c r="L354" i="3"/>
  <c r="M355" i="3"/>
  <c r="L355" i="3"/>
  <c r="M356" i="3"/>
  <c r="L356" i="3"/>
  <c r="M357" i="3"/>
  <c r="L357" i="3"/>
  <c r="M358" i="3"/>
  <c r="L358" i="3"/>
  <c r="M359" i="3"/>
  <c r="L359" i="3"/>
  <c r="M360" i="3"/>
  <c r="L360" i="3"/>
  <c r="M361" i="3"/>
  <c r="L361" i="3"/>
  <c r="M362" i="3"/>
  <c r="L362" i="3"/>
  <c r="M363" i="3"/>
  <c r="L363" i="3"/>
  <c r="M364" i="3"/>
  <c r="L364" i="3"/>
  <c r="M365" i="3"/>
  <c r="L365" i="3"/>
  <c r="M366" i="3"/>
  <c r="L366" i="3"/>
  <c r="M367" i="3"/>
  <c r="L367" i="3"/>
  <c r="M368" i="3"/>
  <c r="L368" i="3"/>
  <c r="M369" i="3"/>
  <c r="L369" i="3"/>
  <c r="M370" i="3"/>
  <c r="L370" i="3"/>
  <c r="M371" i="3"/>
  <c r="L371" i="3"/>
  <c r="M372" i="3"/>
  <c r="L372" i="3"/>
  <c r="M373" i="3"/>
  <c r="L373" i="3"/>
  <c r="M374" i="3"/>
  <c r="L374" i="3"/>
  <c r="M375" i="3"/>
  <c r="L375" i="3"/>
  <c r="M376" i="3"/>
  <c r="L376" i="3"/>
  <c r="M377" i="3"/>
  <c r="L377" i="3"/>
  <c r="M378" i="3"/>
  <c r="L378" i="3"/>
  <c r="M379" i="3"/>
  <c r="L379" i="3"/>
  <c r="M380" i="3"/>
  <c r="L380" i="3"/>
  <c r="M381" i="3"/>
  <c r="L381" i="3"/>
  <c r="M382" i="3"/>
  <c r="L382" i="3"/>
  <c r="M383" i="3"/>
  <c r="L383" i="3"/>
  <c r="M384" i="3"/>
  <c r="L384" i="3"/>
  <c r="M385" i="3"/>
  <c r="L385" i="3"/>
  <c r="M386" i="3"/>
  <c r="L386" i="3"/>
  <c r="M387" i="3"/>
  <c r="L387" i="3"/>
  <c r="M388" i="3"/>
  <c r="L388" i="3"/>
  <c r="M389" i="3"/>
  <c r="L389" i="3"/>
  <c r="M390" i="3"/>
  <c r="L390" i="3"/>
  <c r="M391" i="3"/>
  <c r="L391" i="3"/>
  <c r="M392" i="3"/>
  <c r="L392" i="3"/>
  <c r="M393" i="3"/>
  <c r="L393" i="3"/>
  <c r="M394" i="3"/>
  <c r="L394" i="3"/>
  <c r="M395" i="3"/>
  <c r="L395" i="3"/>
  <c r="M396" i="3"/>
  <c r="L396" i="3"/>
  <c r="M397" i="3"/>
  <c r="L397" i="3"/>
  <c r="M398" i="3"/>
  <c r="L398" i="3"/>
  <c r="M399" i="3"/>
  <c r="L399" i="3"/>
  <c r="M400" i="3"/>
  <c r="L400" i="3"/>
  <c r="M401" i="3"/>
  <c r="L401" i="3"/>
  <c r="M402" i="3"/>
  <c r="L402" i="3"/>
  <c r="M403" i="3"/>
  <c r="L403" i="3"/>
  <c r="M404" i="3"/>
  <c r="L404" i="3"/>
  <c r="M405" i="3"/>
  <c r="L405" i="3"/>
  <c r="M406" i="3"/>
  <c r="L406" i="3"/>
  <c r="M407" i="3"/>
  <c r="L407" i="3"/>
  <c r="M408" i="3"/>
  <c r="L408" i="3"/>
  <c r="M409" i="3"/>
  <c r="L409" i="3"/>
  <c r="M410" i="3"/>
  <c r="L410" i="3"/>
  <c r="M411" i="3"/>
  <c r="L411" i="3"/>
  <c r="M412" i="3"/>
  <c r="L412" i="3"/>
  <c r="M413" i="3"/>
  <c r="L413" i="3"/>
  <c r="M414" i="3"/>
  <c r="L414" i="3"/>
  <c r="M415" i="3"/>
  <c r="L415" i="3"/>
  <c r="M416" i="3"/>
  <c r="L416" i="3"/>
  <c r="M417" i="3"/>
  <c r="L417" i="3"/>
  <c r="M418" i="3"/>
  <c r="L418" i="3"/>
  <c r="M419" i="3"/>
  <c r="L419" i="3"/>
  <c r="M420" i="3"/>
  <c r="L420" i="3"/>
  <c r="M421" i="3"/>
  <c r="L421" i="3"/>
  <c r="M422" i="3"/>
  <c r="L422" i="3"/>
  <c r="M423" i="3"/>
  <c r="L423" i="3"/>
  <c r="M424" i="3"/>
  <c r="L424" i="3"/>
  <c r="M425" i="3"/>
  <c r="L425" i="3"/>
  <c r="M426" i="3"/>
  <c r="L426" i="3"/>
  <c r="M427" i="3"/>
  <c r="L427" i="3"/>
  <c r="M428" i="3"/>
  <c r="L428" i="3"/>
  <c r="M429" i="3"/>
  <c r="L429" i="3"/>
  <c r="M430" i="3"/>
  <c r="L430" i="3"/>
  <c r="M431" i="3"/>
  <c r="L431" i="3"/>
  <c r="M432" i="3"/>
  <c r="L432" i="3"/>
  <c r="M433" i="3"/>
  <c r="L433" i="3"/>
  <c r="M434" i="3"/>
  <c r="L434" i="3"/>
  <c r="M435" i="3"/>
  <c r="L435" i="3"/>
  <c r="M436" i="3"/>
  <c r="L436" i="3"/>
  <c r="M437" i="3"/>
  <c r="L437" i="3"/>
  <c r="M438" i="3"/>
  <c r="L438" i="3"/>
  <c r="M439" i="3"/>
  <c r="L439" i="3"/>
  <c r="M440" i="3"/>
  <c r="L440" i="3"/>
  <c r="M441" i="3"/>
  <c r="L441" i="3"/>
  <c r="M442" i="3"/>
  <c r="L442" i="3"/>
  <c r="M443" i="3"/>
  <c r="L443" i="3"/>
  <c r="M444" i="3"/>
  <c r="L444" i="3"/>
  <c r="M445" i="3"/>
  <c r="L445" i="3"/>
  <c r="M446" i="3"/>
  <c r="L446" i="3"/>
  <c r="M447" i="3"/>
  <c r="L447" i="3"/>
  <c r="M448" i="3"/>
  <c r="L448" i="3"/>
  <c r="M449" i="3"/>
  <c r="L449" i="3"/>
  <c r="M450" i="3"/>
  <c r="L450" i="3"/>
  <c r="M451" i="3"/>
  <c r="L451" i="3"/>
  <c r="M452" i="3"/>
  <c r="L452" i="3"/>
  <c r="M453" i="3"/>
  <c r="L453" i="3"/>
  <c r="M454" i="3"/>
  <c r="L454" i="3"/>
  <c r="M455" i="3"/>
  <c r="L455" i="3"/>
  <c r="M456" i="3"/>
  <c r="L456" i="3"/>
  <c r="M457" i="3"/>
  <c r="L457" i="3"/>
  <c r="M458" i="3"/>
  <c r="L458" i="3"/>
  <c r="M459" i="3"/>
  <c r="L459" i="3"/>
  <c r="M460" i="3"/>
  <c r="L460" i="3"/>
  <c r="M461" i="3"/>
  <c r="L461" i="3"/>
  <c r="M462" i="3"/>
  <c r="L462" i="3"/>
  <c r="M463" i="3"/>
  <c r="L463" i="3"/>
  <c r="M464" i="3"/>
  <c r="L464" i="3"/>
  <c r="M465" i="3"/>
  <c r="L465" i="3"/>
  <c r="M466" i="3"/>
  <c r="L466" i="3"/>
  <c r="M467" i="3"/>
  <c r="L467" i="3"/>
  <c r="M468" i="3"/>
  <c r="L468" i="3"/>
  <c r="M469" i="3"/>
  <c r="L469" i="3"/>
  <c r="M470" i="3"/>
  <c r="L470" i="3"/>
  <c r="M471" i="3"/>
  <c r="L471" i="3"/>
  <c r="M472" i="3"/>
  <c r="L472" i="3"/>
  <c r="M473" i="3"/>
  <c r="L473" i="3"/>
  <c r="M474" i="3"/>
  <c r="L474" i="3"/>
  <c r="M475" i="3"/>
  <c r="L475" i="3"/>
  <c r="M476" i="3"/>
  <c r="L476" i="3"/>
  <c r="M477" i="3"/>
  <c r="L477" i="3"/>
  <c r="M478" i="3"/>
  <c r="L478" i="3"/>
  <c r="M479" i="3"/>
  <c r="L479" i="3"/>
  <c r="M480" i="3"/>
  <c r="L480" i="3"/>
  <c r="M481" i="3"/>
  <c r="L481" i="3"/>
  <c r="M482" i="3"/>
  <c r="L482" i="3"/>
  <c r="M483" i="3"/>
  <c r="L483" i="3"/>
  <c r="M484" i="3"/>
  <c r="L484" i="3"/>
  <c r="M485" i="3"/>
  <c r="L485" i="3"/>
  <c r="M486" i="3"/>
  <c r="L486" i="3"/>
  <c r="M487" i="3"/>
  <c r="L487" i="3"/>
  <c r="M488" i="3"/>
  <c r="L488" i="3"/>
  <c r="M489" i="3"/>
  <c r="L489" i="3"/>
  <c r="M490" i="3"/>
  <c r="L490" i="3"/>
  <c r="M491" i="3"/>
  <c r="L491" i="3"/>
  <c r="M492" i="3"/>
  <c r="L492" i="3"/>
  <c r="M493" i="3"/>
  <c r="L493" i="3"/>
  <c r="M494" i="3"/>
  <c r="L494" i="3"/>
  <c r="M495" i="3"/>
  <c r="L495" i="3"/>
  <c r="M496" i="3"/>
  <c r="L496" i="3"/>
  <c r="M497" i="3"/>
  <c r="L497" i="3"/>
  <c r="M498" i="3"/>
  <c r="L498" i="3"/>
  <c r="M499" i="3"/>
  <c r="L499" i="3"/>
  <c r="M500" i="3"/>
  <c r="L500" i="3"/>
  <c r="M501" i="3"/>
  <c r="L501" i="3"/>
  <c r="M502" i="3"/>
  <c r="L502" i="3"/>
  <c r="M503" i="3"/>
  <c r="L503" i="3"/>
  <c r="M504" i="3"/>
  <c r="L504" i="3"/>
  <c r="M505" i="3"/>
  <c r="L505" i="3"/>
  <c r="M506" i="3"/>
  <c r="L506" i="3"/>
  <c r="M507" i="3"/>
  <c r="L507" i="3"/>
  <c r="M508" i="3"/>
  <c r="L508" i="3"/>
  <c r="M509" i="3"/>
  <c r="L509" i="3"/>
  <c r="M510" i="3"/>
  <c r="L510" i="3"/>
  <c r="M511" i="3"/>
  <c r="L511" i="3"/>
  <c r="M512" i="3"/>
  <c r="L512" i="3"/>
  <c r="M513" i="3"/>
  <c r="L513" i="3"/>
  <c r="M514" i="3"/>
  <c r="L514" i="3"/>
  <c r="M515" i="3"/>
  <c r="L515" i="3"/>
  <c r="M516" i="3"/>
  <c r="L516" i="3"/>
  <c r="M517" i="3"/>
  <c r="L517" i="3"/>
  <c r="M518" i="3"/>
  <c r="L518" i="3"/>
  <c r="M519" i="3"/>
  <c r="L519" i="3"/>
  <c r="M520" i="3"/>
  <c r="L520" i="3"/>
  <c r="M521" i="3"/>
  <c r="L521" i="3"/>
  <c r="M522" i="3"/>
  <c r="L522" i="3"/>
  <c r="M523" i="3"/>
  <c r="L523" i="3"/>
  <c r="M524" i="3"/>
  <c r="L524" i="3"/>
  <c r="M525" i="3"/>
  <c r="L525" i="3"/>
  <c r="M526" i="3"/>
  <c r="L526" i="3"/>
  <c r="M527" i="3"/>
  <c r="L527" i="3"/>
  <c r="M528" i="3"/>
  <c r="L528" i="3"/>
  <c r="M529" i="3"/>
  <c r="L529" i="3"/>
  <c r="M530" i="3"/>
  <c r="L530" i="3"/>
  <c r="M531" i="3"/>
  <c r="L531" i="3"/>
  <c r="M532" i="3"/>
  <c r="L532" i="3"/>
  <c r="M533" i="3"/>
  <c r="L533" i="3"/>
  <c r="M534" i="3"/>
  <c r="L534" i="3"/>
  <c r="M535" i="3"/>
  <c r="L535" i="3"/>
  <c r="M536" i="3"/>
  <c r="L536" i="3"/>
  <c r="M537" i="3"/>
  <c r="L537" i="3"/>
  <c r="M538" i="3"/>
  <c r="L538" i="3"/>
  <c r="M539" i="3"/>
  <c r="L539" i="3"/>
  <c r="M540" i="3"/>
  <c r="L540" i="3"/>
  <c r="M541" i="3"/>
  <c r="L541" i="3"/>
  <c r="M542" i="3"/>
  <c r="L542" i="3"/>
  <c r="M543" i="3"/>
  <c r="L543" i="3"/>
  <c r="M544" i="3"/>
  <c r="L544" i="3"/>
  <c r="M545" i="3"/>
  <c r="L545" i="3"/>
  <c r="M546" i="3"/>
  <c r="L546" i="3"/>
  <c r="M547" i="3"/>
  <c r="L547" i="3"/>
  <c r="M548" i="3"/>
  <c r="L548" i="3"/>
  <c r="M549" i="3"/>
  <c r="L549" i="3"/>
  <c r="M550" i="3"/>
  <c r="L550" i="3"/>
  <c r="M551" i="3"/>
  <c r="L551" i="3"/>
  <c r="M552" i="3"/>
  <c r="L552" i="3"/>
  <c r="M553" i="3"/>
  <c r="L553" i="3"/>
  <c r="M554" i="3"/>
  <c r="L554" i="3"/>
  <c r="M555" i="3"/>
  <c r="L555" i="3"/>
  <c r="M556" i="3"/>
  <c r="L556" i="3"/>
  <c r="M557" i="3"/>
  <c r="L557" i="3"/>
  <c r="M558" i="3"/>
  <c r="L558" i="3"/>
  <c r="M559" i="3"/>
  <c r="L559" i="3"/>
  <c r="M560" i="3"/>
  <c r="L560" i="3"/>
  <c r="M561" i="3"/>
  <c r="L561" i="3"/>
  <c r="M562" i="3"/>
  <c r="L562" i="3"/>
  <c r="M563" i="3"/>
  <c r="L563" i="3"/>
  <c r="M564" i="3"/>
  <c r="L564" i="3"/>
  <c r="M565" i="3"/>
  <c r="L565" i="3"/>
  <c r="M566" i="3"/>
  <c r="L566" i="3"/>
  <c r="M567" i="3"/>
  <c r="L567" i="3"/>
  <c r="M568" i="3"/>
  <c r="L568" i="3"/>
  <c r="M569" i="3"/>
  <c r="L569" i="3"/>
  <c r="M570" i="3"/>
  <c r="L570" i="3"/>
  <c r="M571" i="3"/>
  <c r="L571" i="3"/>
  <c r="M572" i="3"/>
  <c r="L572" i="3"/>
  <c r="M573" i="3"/>
  <c r="L573" i="3"/>
  <c r="M574" i="3"/>
  <c r="L574" i="3"/>
  <c r="M575" i="3"/>
  <c r="L575" i="3"/>
  <c r="M576" i="3"/>
  <c r="L576" i="3"/>
  <c r="M577" i="3"/>
  <c r="L577" i="3"/>
  <c r="M578" i="3"/>
  <c r="L578" i="3"/>
  <c r="M579" i="3"/>
  <c r="L579" i="3"/>
  <c r="M580" i="3"/>
  <c r="L580" i="3"/>
  <c r="M581" i="3"/>
  <c r="L581" i="3"/>
  <c r="M582" i="3"/>
  <c r="L582" i="3"/>
  <c r="M583" i="3"/>
  <c r="L583" i="3"/>
  <c r="M584" i="3"/>
  <c r="L584" i="3"/>
  <c r="M585" i="3"/>
  <c r="L585" i="3"/>
  <c r="M586" i="3"/>
  <c r="L586" i="3"/>
  <c r="M587" i="3"/>
  <c r="L587" i="3"/>
  <c r="M588" i="3"/>
  <c r="L588" i="3"/>
  <c r="M589" i="3"/>
  <c r="L589" i="3"/>
  <c r="M590" i="3"/>
  <c r="L590" i="3"/>
  <c r="M591" i="3"/>
  <c r="L591" i="3"/>
  <c r="M592" i="3"/>
  <c r="L592" i="3"/>
  <c r="M593" i="3"/>
  <c r="L593" i="3"/>
  <c r="M594" i="3"/>
  <c r="L594" i="3"/>
  <c r="M595" i="3"/>
  <c r="L595" i="3"/>
  <c r="M596" i="3"/>
  <c r="L596" i="3"/>
  <c r="M597" i="3"/>
  <c r="L597" i="3"/>
  <c r="M598" i="3"/>
  <c r="L598" i="3"/>
  <c r="M599" i="3"/>
  <c r="L599" i="3"/>
  <c r="M600" i="3"/>
  <c r="L600" i="3"/>
  <c r="M601" i="3"/>
  <c r="L601" i="3"/>
  <c r="M602" i="3"/>
  <c r="L602" i="3"/>
  <c r="M603" i="3"/>
  <c r="L603" i="3"/>
  <c r="M604" i="3"/>
  <c r="L604" i="3"/>
  <c r="M605" i="3"/>
  <c r="L605" i="3"/>
  <c r="M606" i="3"/>
  <c r="L606" i="3"/>
  <c r="M607" i="3"/>
  <c r="L607" i="3"/>
  <c r="M608" i="3"/>
  <c r="L608" i="3"/>
  <c r="M609" i="3"/>
  <c r="L609" i="3"/>
  <c r="M610" i="3"/>
  <c r="L610" i="3"/>
  <c r="M611" i="3"/>
  <c r="L611" i="3"/>
  <c r="M612" i="3"/>
  <c r="L612" i="3"/>
  <c r="M613" i="3"/>
  <c r="L613" i="3"/>
  <c r="M614" i="3"/>
  <c r="L614" i="3"/>
  <c r="M615" i="3"/>
  <c r="L615" i="3"/>
  <c r="M616" i="3"/>
  <c r="L616" i="3"/>
  <c r="M617" i="3"/>
  <c r="L617" i="3"/>
  <c r="M618" i="3"/>
  <c r="L618" i="3"/>
  <c r="M619" i="3"/>
  <c r="L619" i="3"/>
  <c r="M620" i="3"/>
  <c r="L620" i="3"/>
  <c r="M621" i="3"/>
  <c r="L621" i="3"/>
  <c r="M622" i="3"/>
  <c r="L622" i="3"/>
  <c r="M623" i="3"/>
  <c r="L623" i="3"/>
  <c r="M624" i="3"/>
  <c r="L624" i="3"/>
  <c r="M625" i="3"/>
  <c r="L625" i="3"/>
  <c r="M626" i="3"/>
  <c r="L626" i="3"/>
  <c r="M627" i="3"/>
  <c r="L627" i="3"/>
  <c r="M628" i="3"/>
  <c r="L628" i="3"/>
  <c r="M629" i="3"/>
  <c r="L629" i="3"/>
  <c r="M630" i="3"/>
  <c r="L630" i="3"/>
  <c r="M631" i="3"/>
  <c r="L631" i="3"/>
  <c r="M632" i="3"/>
  <c r="L632" i="3"/>
  <c r="M633" i="3"/>
  <c r="L633" i="3"/>
  <c r="M634" i="3"/>
  <c r="L634" i="3"/>
  <c r="M635" i="3"/>
  <c r="L635" i="3"/>
  <c r="M636" i="3"/>
  <c r="L636" i="3"/>
  <c r="M637" i="3"/>
  <c r="L637" i="3"/>
  <c r="M638" i="3"/>
  <c r="L638" i="3"/>
  <c r="M639" i="3"/>
  <c r="L639" i="3"/>
  <c r="M640" i="3"/>
  <c r="L640" i="3"/>
  <c r="M641" i="3"/>
  <c r="L641" i="3"/>
  <c r="M642" i="3"/>
  <c r="L642" i="3"/>
  <c r="M643" i="3"/>
  <c r="L643" i="3"/>
  <c r="M644" i="3"/>
  <c r="L644" i="3"/>
  <c r="M645" i="3"/>
  <c r="L645" i="3"/>
  <c r="M646" i="3"/>
  <c r="L646" i="3"/>
  <c r="M647" i="3"/>
  <c r="L647" i="3"/>
  <c r="M648" i="3"/>
  <c r="L648" i="3"/>
  <c r="M649" i="3"/>
  <c r="L649" i="3"/>
  <c r="M650" i="3"/>
  <c r="L650" i="3"/>
  <c r="M651" i="3"/>
  <c r="L651" i="3"/>
  <c r="M652" i="3"/>
  <c r="L652" i="3"/>
  <c r="M653" i="3"/>
  <c r="L653" i="3"/>
  <c r="M654" i="3"/>
  <c r="L654" i="3"/>
  <c r="M655" i="3"/>
  <c r="L655" i="3"/>
  <c r="M656" i="3"/>
  <c r="L656" i="3"/>
  <c r="M657" i="3"/>
  <c r="L657" i="3"/>
  <c r="M658" i="3"/>
  <c r="L658" i="3"/>
  <c r="M659" i="3"/>
  <c r="L659" i="3"/>
  <c r="M660" i="3"/>
  <c r="L660" i="3"/>
  <c r="M661" i="3"/>
  <c r="L661" i="3"/>
  <c r="M662" i="3"/>
  <c r="L662" i="3"/>
  <c r="M663" i="3"/>
  <c r="L663" i="3"/>
  <c r="M664" i="3"/>
  <c r="L664" i="3"/>
  <c r="M665" i="3"/>
  <c r="L665" i="3"/>
  <c r="M666" i="3"/>
  <c r="L666" i="3"/>
  <c r="M667" i="3"/>
  <c r="L667" i="3"/>
  <c r="M668" i="3"/>
  <c r="L668" i="3"/>
  <c r="M669" i="3"/>
  <c r="L669" i="3"/>
  <c r="M670" i="3"/>
  <c r="L670" i="3"/>
  <c r="M671" i="3"/>
  <c r="L671" i="3"/>
  <c r="M672" i="3"/>
  <c r="L672" i="3"/>
  <c r="M673" i="3"/>
  <c r="L673" i="3"/>
  <c r="M674" i="3"/>
  <c r="L674" i="3"/>
  <c r="M675" i="3"/>
  <c r="L675" i="3"/>
  <c r="M676" i="3"/>
  <c r="L676" i="3"/>
  <c r="M677" i="3"/>
  <c r="L677" i="3"/>
  <c r="M678" i="3"/>
  <c r="L678" i="3"/>
  <c r="M679" i="3"/>
  <c r="L679" i="3"/>
  <c r="M680" i="3"/>
  <c r="L680" i="3"/>
  <c r="M681" i="3"/>
  <c r="L681" i="3"/>
  <c r="M682" i="3"/>
  <c r="L682" i="3"/>
  <c r="M683" i="3"/>
  <c r="L683" i="3"/>
  <c r="M684" i="3"/>
  <c r="L684" i="3"/>
  <c r="M685" i="3"/>
  <c r="L685" i="3"/>
  <c r="M686" i="3"/>
  <c r="L686" i="3"/>
  <c r="M687" i="3"/>
  <c r="L687" i="3"/>
  <c r="M688" i="3"/>
  <c r="L688" i="3"/>
  <c r="M689" i="3"/>
  <c r="L689" i="3"/>
  <c r="M690" i="3"/>
  <c r="L690" i="3"/>
  <c r="M691" i="3"/>
  <c r="L691" i="3"/>
  <c r="M692" i="3"/>
  <c r="L692" i="3"/>
  <c r="M693" i="3"/>
  <c r="L693" i="3"/>
  <c r="M694" i="3"/>
  <c r="L694" i="3"/>
  <c r="M695" i="3"/>
  <c r="L695" i="3"/>
  <c r="M696" i="3"/>
  <c r="L696" i="3"/>
  <c r="M697" i="3"/>
  <c r="L697" i="3"/>
  <c r="M698" i="3"/>
  <c r="L698" i="3"/>
  <c r="M699" i="3"/>
  <c r="L699" i="3"/>
  <c r="M700" i="3"/>
  <c r="L700" i="3"/>
  <c r="M701" i="3"/>
  <c r="L701" i="3"/>
  <c r="M702" i="3"/>
  <c r="L702" i="3"/>
  <c r="M703" i="3"/>
  <c r="L703" i="3"/>
  <c r="M704" i="3"/>
  <c r="L704" i="3"/>
  <c r="M705" i="3"/>
  <c r="L705" i="3"/>
  <c r="M706" i="3"/>
  <c r="L706" i="3"/>
  <c r="M707" i="3"/>
  <c r="L707" i="3"/>
  <c r="M708" i="3"/>
  <c r="L708" i="3"/>
  <c r="M709" i="3"/>
  <c r="L709" i="3"/>
  <c r="M710" i="3"/>
  <c r="L710" i="3"/>
  <c r="M711" i="3"/>
  <c r="L711" i="3"/>
  <c r="M712" i="3"/>
  <c r="L712" i="3"/>
  <c r="M713" i="3"/>
  <c r="L713" i="3"/>
  <c r="M714" i="3"/>
  <c r="L714" i="3"/>
  <c r="M715" i="3"/>
  <c r="L715" i="3"/>
  <c r="M716" i="3"/>
  <c r="L716" i="3"/>
  <c r="M717" i="3"/>
  <c r="L717" i="3"/>
  <c r="M718" i="3"/>
  <c r="L718" i="3"/>
  <c r="M719" i="3"/>
  <c r="L719" i="3"/>
  <c r="M720" i="3"/>
  <c r="L720" i="3"/>
  <c r="M721" i="3"/>
  <c r="L721" i="3"/>
  <c r="M722" i="3"/>
  <c r="L722" i="3"/>
  <c r="M723" i="3"/>
  <c r="L723" i="3"/>
  <c r="M724" i="3"/>
  <c r="L724" i="3"/>
  <c r="M725" i="3"/>
  <c r="L725" i="3"/>
  <c r="M726" i="3"/>
  <c r="L726" i="3"/>
  <c r="M727" i="3"/>
  <c r="L727" i="3"/>
  <c r="M728" i="3"/>
  <c r="L728" i="3"/>
  <c r="M729" i="3"/>
  <c r="L729" i="3"/>
  <c r="M730" i="3"/>
  <c r="L730" i="3"/>
  <c r="M731" i="3"/>
  <c r="L731" i="3"/>
  <c r="M732" i="3"/>
  <c r="L732" i="3"/>
  <c r="M733" i="3"/>
  <c r="L733" i="3"/>
  <c r="M734" i="3"/>
  <c r="L734" i="3"/>
  <c r="M735" i="3"/>
  <c r="L735" i="3"/>
  <c r="M736" i="3"/>
  <c r="L736" i="3"/>
  <c r="M737" i="3"/>
  <c r="L737" i="3"/>
  <c r="M738" i="3"/>
  <c r="L738" i="3"/>
  <c r="M739" i="3"/>
  <c r="L739" i="3"/>
  <c r="M740" i="3"/>
  <c r="L740" i="3"/>
  <c r="M741" i="3"/>
  <c r="L741" i="3"/>
  <c r="M742" i="3"/>
  <c r="L742" i="3"/>
  <c r="M743" i="3"/>
  <c r="L743" i="3"/>
  <c r="M744" i="3"/>
  <c r="L744" i="3"/>
  <c r="M745" i="3"/>
  <c r="L745" i="3"/>
  <c r="M746" i="3"/>
  <c r="L746" i="3"/>
  <c r="M747" i="3"/>
  <c r="L747" i="3"/>
  <c r="M748" i="3"/>
  <c r="L748" i="3"/>
  <c r="M749" i="3"/>
  <c r="L749" i="3"/>
  <c r="M750" i="3"/>
  <c r="L750" i="3"/>
  <c r="M751" i="3"/>
  <c r="L751" i="3"/>
  <c r="M752" i="3"/>
  <c r="L752" i="3"/>
  <c r="M753" i="3"/>
  <c r="L753" i="3"/>
  <c r="M754" i="3"/>
  <c r="L754" i="3"/>
  <c r="M755" i="3"/>
  <c r="L755" i="3"/>
  <c r="M756" i="3"/>
  <c r="L756" i="3"/>
  <c r="M757" i="3"/>
  <c r="L757" i="3"/>
  <c r="M758" i="3"/>
  <c r="L758" i="3"/>
  <c r="M759" i="3"/>
  <c r="L759" i="3"/>
  <c r="M760" i="3"/>
  <c r="L760" i="3"/>
  <c r="M761" i="3"/>
  <c r="L761" i="3"/>
  <c r="M762" i="3"/>
  <c r="L762" i="3"/>
  <c r="M763" i="3"/>
  <c r="L763" i="3"/>
  <c r="M764" i="3"/>
  <c r="L764" i="3"/>
  <c r="M765" i="3"/>
  <c r="L765" i="3"/>
  <c r="M766" i="3"/>
  <c r="L766" i="3"/>
  <c r="M767" i="3"/>
  <c r="L767" i="3"/>
  <c r="M768" i="3"/>
  <c r="L768" i="3"/>
  <c r="M769" i="3"/>
  <c r="L769" i="3"/>
  <c r="M770" i="3"/>
  <c r="L770" i="3"/>
  <c r="M771" i="3"/>
  <c r="L771" i="3"/>
  <c r="M772" i="3"/>
  <c r="L772" i="3"/>
  <c r="M773" i="3"/>
  <c r="L773" i="3"/>
  <c r="M774" i="3"/>
  <c r="L774" i="3"/>
  <c r="M775" i="3"/>
  <c r="L775" i="3"/>
  <c r="M776" i="3"/>
  <c r="L776" i="3"/>
  <c r="M777" i="3"/>
  <c r="L777" i="3"/>
  <c r="M778" i="3"/>
  <c r="L778" i="3"/>
  <c r="M779" i="3"/>
  <c r="L779" i="3"/>
  <c r="M780" i="3"/>
  <c r="L780" i="3"/>
  <c r="M781" i="3"/>
  <c r="L781" i="3"/>
  <c r="M782" i="3"/>
  <c r="L782" i="3"/>
  <c r="M783" i="3"/>
  <c r="L783" i="3"/>
  <c r="M784" i="3"/>
  <c r="L784" i="3"/>
  <c r="M785" i="3"/>
  <c r="L785" i="3"/>
  <c r="M786" i="3"/>
  <c r="L786" i="3"/>
  <c r="M787" i="3"/>
  <c r="L787" i="3"/>
  <c r="M788" i="3"/>
  <c r="L788" i="3"/>
  <c r="M789" i="3"/>
  <c r="L789" i="3"/>
  <c r="M790" i="3"/>
  <c r="L790" i="3"/>
  <c r="M791" i="3"/>
  <c r="L791" i="3"/>
  <c r="M792" i="3"/>
  <c r="L792" i="3"/>
  <c r="M793" i="3"/>
  <c r="L793" i="3"/>
  <c r="M794" i="3"/>
  <c r="L794" i="3"/>
  <c r="M795" i="3"/>
  <c r="L795" i="3"/>
  <c r="M796" i="3"/>
  <c r="L796" i="3"/>
  <c r="M797" i="3"/>
  <c r="L797" i="3"/>
  <c r="M798" i="3"/>
  <c r="L798" i="3"/>
  <c r="M799" i="3"/>
  <c r="L799" i="3"/>
  <c r="M800" i="3"/>
  <c r="L800" i="3"/>
  <c r="M801" i="3"/>
  <c r="L801" i="3"/>
  <c r="M802" i="3"/>
  <c r="L802" i="3"/>
  <c r="M803" i="3"/>
  <c r="L803" i="3"/>
  <c r="M804" i="3"/>
  <c r="L804" i="3"/>
  <c r="M805" i="3"/>
  <c r="L805" i="3"/>
  <c r="M806" i="3"/>
  <c r="L806" i="3"/>
  <c r="M807" i="3"/>
  <c r="L807" i="3"/>
  <c r="M808" i="3"/>
  <c r="L808" i="3"/>
  <c r="M809" i="3"/>
  <c r="L809" i="3"/>
  <c r="M810" i="3"/>
  <c r="L810" i="3"/>
  <c r="M811" i="3"/>
  <c r="L811" i="3"/>
  <c r="M812" i="3"/>
  <c r="L812" i="3"/>
  <c r="M813" i="3"/>
  <c r="L813" i="3"/>
  <c r="M814" i="3"/>
  <c r="L814" i="3"/>
  <c r="M815" i="3"/>
  <c r="L815" i="3"/>
  <c r="M816" i="3"/>
  <c r="L816" i="3"/>
  <c r="M817" i="3"/>
  <c r="L817" i="3"/>
  <c r="M818" i="3"/>
  <c r="L818" i="3"/>
  <c r="M819" i="3"/>
  <c r="L819" i="3"/>
  <c r="M820" i="3"/>
  <c r="L820" i="3"/>
  <c r="M821" i="3"/>
  <c r="L821" i="3"/>
  <c r="M822" i="3"/>
  <c r="L822" i="3"/>
  <c r="M823" i="3"/>
  <c r="L823" i="3"/>
  <c r="M824" i="3"/>
  <c r="L824" i="3"/>
  <c r="M825" i="3"/>
  <c r="L825" i="3"/>
  <c r="M826" i="3"/>
  <c r="L826" i="3"/>
  <c r="M827" i="3"/>
  <c r="L827" i="3"/>
  <c r="M828" i="3"/>
  <c r="L828" i="3"/>
  <c r="M829" i="3"/>
  <c r="L829" i="3"/>
  <c r="M830" i="3"/>
  <c r="L830" i="3"/>
  <c r="M831" i="3"/>
  <c r="L831" i="3"/>
  <c r="M832" i="3"/>
  <c r="L832" i="3"/>
  <c r="M833" i="3"/>
  <c r="L833" i="3"/>
  <c r="M834" i="3"/>
  <c r="L834" i="3"/>
  <c r="M835" i="3"/>
  <c r="L835" i="3"/>
  <c r="M836" i="3"/>
  <c r="L836" i="3"/>
  <c r="M837" i="3"/>
  <c r="L837" i="3"/>
  <c r="M838" i="3"/>
  <c r="L838" i="3"/>
  <c r="M839" i="3"/>
  <c r="L839" i="3"/>
  <c r="M840" i="3"/>
  <c r="L840" i="3"/>
  <c r="M841" i="3"/>
  <c r="L841" i="3"/>
  <c r="M842" i="3"/>
  <c r="L842" i="3"/>
  <c r="M843" i="3"/>
  <c r="L843" i="3"/>
  <c r="M844" i="3"/>
  <c r="L844" i="3"/>
  <c r="M845" i="3"/>
  <c r="L845" i="3"/>
  <c r="M846" i="3"/>
  <c r="L846" i="3"/>
  <c r="M847" i="3"/>
  <c r="L847" i="3"/>
  <c r="M848" i="3"/>
  <c r="L848" i="3"/>
  <c r="M849" i="3"/>
  <c r="L849" i="3"/>
  <c r="M850" i="3"/>
  <c r="L850" i="3"/>
  <c r="M851" i="3"/>
  <c r="L851" i="3"/>
  <c r="M852" i="3"/>
  <c r="L852" i="3"/>
  <c r="M853" i="3"/>
  <c r="L853" i="3"/>
  <c r="M854" i="3"/>
  <c r="L854" i="3"/>
  <c r="M855" i="3"/>
  <c r="L855" i="3"/>
  <c r="M856" i="3"/>
  <c r="L856" i="3"/>
  <c r="M857" i="3"/>
  <c r="L857" i="3"/>
  <c r="M858" i="3"/>
  <c r="L858" i="3"/>
  <c r="M859" i="3"/>
  <c r="L859" i="3"/>
  <c r="M860" i="3"/>
  <c r="L860" i="3"/>
  <c r="M861" i="3"/>
  <c r="L861" i="3"/>
  <c r="M862" i="3"/>
  <c r="L862" i="3"/>
  <c r="M863" i="3"/>
  <c r="L863" i="3"/>
  <c r="M864" i="3"/>
  <c r="L864" i="3"/>
  <c r="M865" i="3"/>
  <c r="L865" i="3"/>
  <c r="M866" i="3"/>
  <c r="L866" i="3"/>
  <c r="M867" i="3"/>
  <c r="L867" i="3"/>
  <c r="M868" i="3"/>
  <c r="L868" i="3"/>
  <c r="M869" i="3"/>
  <c r="L869" i="3"/>
  <c r="M870" i="3"/>
  <c r="L870" i="3"/>
  <c r="M871" i="3"/>
  <c r="L871" i="3"/>
  <c r="M872" i="3"/>
  <c r="L872" i="3"/>
  <c r="M873" i="3"/>
  <c r="L873" i="3"/>
  <c r="M874" i="3"/>
  <c r="L874" i="3"/>
  <c r="M875" i="3"/>
  <c r="L875" i="3"/>
  <c r="M876" i="3"/>
  <c r="L876" i="3"/>
  <c r="M877" i="3"/>
  <c r="L877" i="3"/>
  <c r="M878" i="3"/>
  <c r="L878" i="3"/>
  <c r="M879" i="3"/>
  <c r="L879" i="3"/>
  <c r="M880" i="3"/>
  <c r="L880" i="3"/>
  <c r="M881" i="3"/>
  <c r="L881" i="3"/>
  <c r="M882" i="3"/>
  <c r="L882" i="3"/>
  <c r="M883" i="3"/>
  <c r="L883" i="3"/>
  <c r="M884" i="3"/>
  <c r="L884" i="3"/>
  <c r="M885" i="3"/>
  <c r="L885" i="3"/>
  <c r="M886" i="3"/>
  <c r="L886" i="3"/>
  <c r="M887" i="3"/>
  <c r="L887" i="3"/>
  <c r="M888" i="3"/>
  <c r="L888" i="3"/>
  <c r="M889" i="3"/>
  <c r="L889" i="3"/>
  <c r="M890" i="3"/>
  <c r="L890" i="3"/>
  <c r="M891" i="3"/>
  <c r="L891" i="3"/>
  <c r="M892" i="3"/>
  <c r="L892" i="3"/>
  <c r="M893" i="3"/>
  <c r="L893" i="3"/>
  <c r="M894" i="3"/>
  <c r="L894" i="3"/>
  <c r="M895" i="3"/>
  <c r="L895" i="3"/>
  <c r="M896" i="3"/>
  <c r="L896" i="3"/>
  <c r="M897" i="3"/>
  <c r="L897" i="3"/>
  <c r="M898" i="3"/>
  <c r="L898" i="3"/>
  <c r="M899" i="3"/>
  <c r="L899" i="3"/>
  <c r="M900" i="3"/>
  <c r="L900" i="3"/>
  <c r="M901" i="3"/>
  <c r="L901" i="3"/>
  <c r="M902" i="3"/>
  <c r="L902" i="3"/>
  <c r="M903" i="3"/>
  <c r="L903" i="3"/>
  <c r="M904" i="3"/>
  <c r="L904" i="3"/>
  <c r="M905" i="3"/>
  <c r="L905" i="3"/>
  <c r="M906" i="3"/>
  <c r="L906" i="3"/>
  <c r="M907" i="3"/>
  <c r="L907" i="3"/>
  <c r="M908" i="3"/>
  <c r="L908" i="3"/>
  <c r="M909" i="3"/>
  <c r="L909" i="3"/>
  <c r="M910" i="3"/>
  <c r="L910" i="3"/>
  <c r="M911" i="3"/>
  <c r="L911" i="3"/>
  <c r="M912" i="3"/>
  <c r="L912" i="3"/>
  <c r="M913" i="3"/>
  <c r="L913" i="3"/>
  <c r="M914" i="3"/>
  <c r="L914" i="3"/>
  <c r="M915" i="3"/>
  <c r="L915" i="3"/>
  <c r="M916" i="3"/>
  <c r="L916" i="3"/>
  <c r="M917" i="3"/>
  <c r="L917" i="3"/>
  <c r="M918" i="3"/>
  <c r="L918" i="3"/>
  <c r="M919" i="3"/>
  <c r="L919" i="3"/>
  <c r="M920" i="3"/>
  <c r="L920" i="3"/>
  <c r="M921" i="3"/>
  <c r="L921" i="3"/>
  <c r="M922" i="3"/>
  <c r="L922" i="3"/>
  <c r="M923" i="3"/>
  <c r="L923" i="3"/>
  <c r="M924" i="3"/>
  <c r="L924" i="3"/>
  <c r="M925" i="3"/>
  <c r="L925" i="3"/>
  <c r="M926" i="3"/>
  <c r="L926" i="3"/>
  <c r="M927" i="3"/>
  <c r="L927" i="3"/>
  <c r="M928" i="3"/>
  <c r="L928" i="3"/>
  <c r="M929" i="3"/>
  <c r="L929" i="3"/>
  <c r="M930" i="3"/>
  <c r="L930" i="3"/>
  <c r="M931" i="3"/>
  <c r="L931" i="3"/>
  <c r="M932" i="3"/>
  <c r="L932" i="3"/>
  <c r="M933" i="3"/>
  <c r="L933" i="3"/>
  <c r="M934" i="3"/>
  <c r="L934" i="3"/>
  <c r="M935" i="3"/>
  <c r="L935" i="3"/>
  <c r="M936" i="3"/>
  <c r="L936" i="3"/>
  <c r="M937" i="3"/>
  <c r="L937" i="3"/>
  <c r="M938" i="3"/>
  <c r="L938" i="3"/>
  <c r="M939" i="3"/>
  <c r="L939" i="3"/>
  <c r="M940" i="3"/>
  <c r="L940" i="3"/>
  <c r="M941" i="3"/>
  <c r="L941" i="3"/>
  <c r="M942" i="3"/>
  <c r="L942" i="3"/>
  <c r="M943" i="3"/>
  <c r="L943" i="3"/>
  <c r="M944" i="3"/>
  <c r="L944" i="3"/>
  <c r="M945" i="3"/>
  <c r="L945" i="3"/>
  <c r="M946" i="3"/>
  <c r="L946" i="3"/>
  <c r="M947" i="3"/>
  <c r="L947" i="3"/>
  <c r="M948" i="3"/>
  <c r="L948" i="3"/>
  <c r="M949" i="3"/>
  <c r="L949" i="3"/>
  <c r="M950" i="3"/>
  <c r="L950" i="3"/>
  <c r="M951" i="3"/>
  <c r="L951" i="3"/>
  <c r="M952" i="3"/>
  <c r="L952" i="3"/>
  <c r="M953" i="3"/>
  <c r="L953" i="3"/>
  <c r="M954" i="3"/>
  <c r="L954" i="3"/>
  <c r="M955" i="3"/>
  <c r="L955" i="3"/>
  <c r="M956" i="3"/>
  <c r="L956" i="3"/>
  <c r="M957" i="3"/>
  <c r="L957" i="3"/>
  <c r="M958" i="3"/>
  <c r="L958" i="3"/>
  <c r="M959" i="3"/>
  <c r="L959" i="3"/>
  <c r="M960" i="3"/>
  <c r="L960" i="3"/>
  <c r="M961" i="3"/>
  <c r="L961" i="3"/>
  <c r="M962" i="3"/>
  <c r="L962" i="3"/>
  <c r="M963" i="3"/>
  <c r="L963" i="3"/>
  <c r="M964" i="3"/>
  <c r="L964" i="3"/>
  <c r="M965" i="3"/>
  <c r="L965" i="3"/>
  <c r="M966" i="3"/>
  <c r="L966" i="3"/>
  <c r="M967" i="3"/>
  <c r="L967" i="3"/>
  <c r="M968" i="3"/>
  <c r="L968" i="3"/>
  <c r="M969" i="3"/>
  <c r="L969" i="3"/>
  <c r="M970" i="3"/>
  <c r="L970" i="3"/>
  <c r="M971" i="3"/>
  <c r="L971" i="3"/>
  <c r="M972" i="3"/>
  <c r="L972" i="3"/>
  <c r="M973" i="3"/>
  <c r="L973" i="3"/>
  <c r="M974" i="3"/>
  <c r="L974" i="3"/>
  <c r="M975" i="3"/>
  <c r="L975" i="3"/>
  <c r="M976" i="3"/>
  <c r="L976" i="3"/>
  <c r="M977" i="3"/>
  <c r="L977" i="3"/>
  <c r="M978" i="3"/>
  <c r="L978" i="3"/>
  <c r="M979" i="3"/>
  <c r="L979" i="3"/>
  <c r="M980" i="3"/>
  <c r="L980" i="3"/>
  <c r="M981" i="3"/>
  <c r="L981" i="3"/>
  <c r="M982" i="3"/>
  <c r="L982" i="3"/>
  <c r="M983" i="3"/>
  <c r="L983" i="3"/>
  <c r="M984" i="3"/>
  <c r="L984" i="3"/>
  <c r="M985" i="3"/>
  <c r="L985" i="3"/>
  <c r="M986" i="3"/>
  <c r="L986" i="3"/>
  <c r="M987" i="3"/>
  <c r="L987" i="3"/>
  <c r="M988" i="3"/>
  <c r="L988" i="3"/>
  <c r="M989" i="3"/>
  <c r="L989" i="3"/>
  <c r="M990" i="3"/>
  <c r="L990" i="3"/>
  <c r="M991" i="3"/>
  <c r="L991" i="3"/>
  <c r="M992" i="3"/>
  <c r="L992" i="3"/>
  <c r="M993" i="3"/>
  <c r="L993" i="3"/>
  <c r="M994" i="3"/>
  <c r="L994" i="3"/>
  <c r="M995" i="3"/>
  <c r="L995" i="3"/>
  <c r="M996" i="3"/>
  <c r="L996" i="3"/>
  <c r="M997" i="3"/>
  <c r="L997" i="3"/>
  <c r="M998" i="3"/>
  <c r="L998" i="3"/>
  <c r="M999" i="3"/>
  <c r="L999" i="3"/>
  <c r="M1000" i="3"/>
  <c r="L1000" i="3"/>
  <c r="M1001" i="3"/>
  <c r="L1001" i="3"/>
  <c r="P18" i="3" l="1"/>
  <c r="P13" i="3"/>
  <c r="P11" i="3"/>
  <c r="P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<sst xmlns="http://schemas.openxmlformats.org/spreadsheetml/2006/main" count="3054" uniqueCount="1051">
  <si>
    <t>Transaction ID</t>
  </si>
  <si>
    <t>Date</t>
  </si>
  <si>
    <t>Year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</si>
  <si>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</si>
  <si>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</si>
  <si>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</si>
  <si>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</si>
  <si>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</si>
  <si>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</si>
  <si>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</si>
  <si>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Total sales</t>
  </si>
  <si>
    <t>2023 Commission</t>
  </si>
  <si>
    <t>2024 Commission</t>
  </si>
  <si>
    <t>Date Based Commission</t>
  </si>
  <si>
    <t>Rate %</t>
  </si>
  <si>
    <t>CUST001</t>
  </si>
  <si>
    <t>Male</t>
  </si>
  <si>
    <t>Beauty</t>
  </si>
  <si>
    <t>Commission rate 2023</t>
  </si>
  <si>
    <t>CUST002</t>
  </si>
  <si>
    <t>Female</t>
  </si>
  <si>
    <t>Clothing</t>
  </si>
  <si>
    <t>Commission rate 2024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</si>
  <si>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</si>
  <si>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</si>
  <si>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</si>
  <si>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</si>
  <si>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</si>
  <si>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</si>
  <si>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</si>
  <si>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</si>
  <si>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Total commission</t>
  </si>
  <si>
    <t>CUST010</t>
  </si>
  <si>
    <t>Average commission</t>
  </si>
  <si>
    <t>CUST011</t>
  </si>
  <si>
    <t>CUST012</t>
  </si>
  <si>
    <t>CUST013</t>
  </si>
  <si>
    <t>2023 sales</t>
  </si>
  <si>
    <t>CUST014</t>
  </si>
  <si>
    <t>2024 sales</t>
  </si>
  <si>
    <t>CUST015</t>
  </si>
  <si>
    <t>2023 AOV</t>
  </si>
  <si>
    <t>CUST016</t>
  </si>
  <si>
    <t>2024 AOV</t>
  </si>
  <si>
    <t>CUST017</t>
  </si>
  <si>
    <t>2023 commission</t>
  </si>
  <si>
    <t>CUST018</t>
  </si>
  <si>
    <t>2024 commission</t>
  </si>
  <si>
    <t>CUST019</t>
  </si>
  <si>
    <t>CUST020</t>
  </si>
  <si>
    <t>CUST021</t>
  </si>
  <si>
    <t>CUST022</t>
  </si>
  <si>
    <t>Total sales from women</t>
  </si>
  <si>
    <t>AOV women</t>
  </si>
  <si>
    <t>CUST023</t>
  </si>
  <si>
    <t>Total sales from men</t>
  </si>
  <si>
    <t>AOV men</t>
  </si>
  <si>
    <t>CUST024</t>
  </si>
  <si>
    <t>CUST025</t>
  </si>
  <si>
    <t>CUST026</t>
  </si>
  <si>
    <t>Total sales under 30</t>
  </si>
  <si>
    <t>AOV under 30</t>
  </si>
  <si>
    <t>CUST027</t>
  </si>
  <si>
    <t>Total sales 30-39</t>
  </si>
  <si>
    <t>AOV 30-39</t>
  </si>
  <si>
    <t>CUST028</t>
  </si>
  <si>
    <t>Total sales 40+</t>
  </si>
  <si>
    <t>AOV 40+</t>
  </si>
  <si>
    <t>CUST029</t>
  </si>
  <si>
    <t>CUST030</t>
  </si>
  <si>
    <t>CUST031</t>
  </si>
  <si>
    <t>Beauty sales</t>
  </si>
  <si>
    <t>Beauty AOV</t>
  </si>
  <si>
    <t>CUST032</t>
  </si>
  <si>
    <t>Clothing sales</t>
  </si>
  <si>
    <t>Clothing AOV</t>
  </si>
  <si>
    <t>CUST033</t>
  </si>
  <si>
    <t>Electronics sales</t>
  </si>
  <si>
    <t>Electronics AOV</t>
  </si>
  <si>
    <t>CUST034</t>
  </si>
  <si>
    <t>CUST035</t>
  </si>
  <si>
    <t>WOMEN</t>
  </si>
  <si>
    <t>MEN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</si>
  <si>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</si>
  <si>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</si>
  <si>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</si>
  <si>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</si>
  <si>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</si>
  <si>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</si>
  <si>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</si>
  <si>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</si>
  <si>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</si>
  <si>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</si>
  <si>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</si>
  <si>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</si>
  <si>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</si>
  <si>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</si>
  <si>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</si>
  <si>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</si>
  <si>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</si>
  <si>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</si>
  <si>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</si>
  <si>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</si>
  <si>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</si>
  <si>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</si>
  <si>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</si>
  <si>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</si>
  <si>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</si>
  <si>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</si>
  <si>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</si>
  <si>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</si>
  <si>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</si>
  <si>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</si>
  <si>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</si>
  <si>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</si>
  <si>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</si>
  <si>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</si>
  <si>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</si>
  <si>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</si>
  <si>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</si>
  <si>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</si>
  <si>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</si>
  <si>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</si>
  <si>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</si>
  <si>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</si>
  <si>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</si>
  <si>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</si>
  <si>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</si>
  <si>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</si>
  <si>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</si>
  <si>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</si>
  <si>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</si>
  <si>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</si>
  <si>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</si>
  <si>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</si>
  <si>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</si>
  <si>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</si>
  <si>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</si>
  <si>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</si>
  <si>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</si>
  <si>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</si>
  <si>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</si>
  <si>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</si>
  <si>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</si>
  <si>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</si>
  <si>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</si>
  <si>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</si>
  <si>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</si>
  <si>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</si>
  <si>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</si>
  <si>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</si>
  <si>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</si>
  <si>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</si>
  <si>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</si>
  <si>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</si>
  <si>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</si>
  <si>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</si>
  <si>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</si>
  <si>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</si>
  <si>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</si>
  <si>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</si>
  <si>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</si>
  <si>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</si>
  <si>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</si>
  <si>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</si>
  <si>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</si>
  <si>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</si>
  <si>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</si>
  <si>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</si>
  <si>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</si>
  <si>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</si>
  <si>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</si>
  <si>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</si>
  <si>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</si>
  <si>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</si>
  <si>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</si>
  <si>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</si>
  <si>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</si>
  <si>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</si>
  <si>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</si>
  <si>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</si>
  <si>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</si>
  <si>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</si>
  <si>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</si>
  <si>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</si>
  <si>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</si>
  <si>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</si>
  <si>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</si>
  <si>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</si>
  <si>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</si>
  <si>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</si>
  <si>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</si>
  <si>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</si>
  <si>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</si>
  <si>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</si>
  <si>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</si>
  <si>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</si>
  <si>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</si>
  <si>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</si>
  <si>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</si>
  <si>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</si>
  <si>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</si>
  <si>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</si>
  <si>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</si>
  <si>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</si>
  <si>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</si>
  <si>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</si>
  <si>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</si>
  <si>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</si>
  <si>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</si>
  <si>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</si>
  <si>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</si>
  <si>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</si>
  <si>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</si>
  <si>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</si>
  <si>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</si>
  <si>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</si>
  <si>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</si>
  <si>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</si>
  <si>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</si>
  <si>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</si>
  <si>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</si>
  <si>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</si>
  <si>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</si>
  <si>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</si>
  <si>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</si>
  <si>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</si>
  <si>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</si>
  <si>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</si>
  <si>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</si>
  <si>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</si>
  <si>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</si>
  <si>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</si>
  <si>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</si>
  <si>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</si>
  <si>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</si>
  <si>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</si>
  <si>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</si>
  <si>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</si>
  <si>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</si>
  <si>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</si>
  <si>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</si>
  <si>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</si>
  <si>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</si>
  <si>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</si>
  <si>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</si>
  <si>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</si>
  <si>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</si>
  <si>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</si>
  <si>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</si>
  <si>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</si>
  <si>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</si>
  <si>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</si>
  <si>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</si>
  <si>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</si>
  <si>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</si>
  <si>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</si>
  <si>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</si>
  <si>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</si>
  <si>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</si>
  <si>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</si>
  <si>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</si>
  <si>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</si>
  <si>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</si>
  <si>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</si>
  <si>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</si>
  <si>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</si>
  <si>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</si>
  <si>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</si>
  <si>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</si>
  <si>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</si>
  <si>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</si>
  <si>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</si>
  <si>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</si>
  <si>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</si>
  <si>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</si>
  <si>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</si>
  <si>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</si>
  <si>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</si>
  <si>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</si>
  <si>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</si>
  <si>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</si>
  <si>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</si>
  <si>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</si>
  <si>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</si>
  <si>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</si>
  <si>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</si>
  <si>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</si>
  <si>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</si>
  <si>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</si>
  <si>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</si>
  <si>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</si>
  <si>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</si>
  <si>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</si>
  <si>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</si>
  <si>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</si>
  <si>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</si>
  <si>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</si>
  <si>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</si>
  <si>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</si>
  <si>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</si>
  <si>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</si>
  <si>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</si>
  <si>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</si>
  <si>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</si>
  <si>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</si>
  <si>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</si>
  <si>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</si>
  <si>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</si>
  <si>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</si>
  <si>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</si>
  <si>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</si>
  <si>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</si>
  <si>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</si>
  <si>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</si>
  <si>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</si>
  <si>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</si>
  <si>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</si>
  <si>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</si>
  <si>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</si>
  <si>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</si>
  <si>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</si>
  <si>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</si>
  <si>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</si>
  <si>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</si>
  <si>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</si>
  <si>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</si>
  <si>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</si>
  <si>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</si>
  <si>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</si>
  <si>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</si>
  <si>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</si>
  <si>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</si>
  <si>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</si>
  <si>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</si>
  <si>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</si>
  <si>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</si>
  <si>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</si>
  <si>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</si>
  <si>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</si>
  <si>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</si>
  <si>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</si>
  <si>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</si>
  <si>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</si>
  <si>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</si>
  <si>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</si>
  <si>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</si>
  <si>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</si>
  <si>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</si>
  <si>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</si>
  <si>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</si>
  <si>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</si>
  <si>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</si>
  <si>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</si>
  <si>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</si>
  <si>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</si>
  <si>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</si>
  <si>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</si>
  <si>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</si>
  <si>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</si>
  <si>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</si>
  <si>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</si>
  <si>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</si>
  <si>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</si>
  <si>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</si>
  <si>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</si>
  <si>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</si>
  <si>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</si>
  <si>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</si>
  <si>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</si>
  <si>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</si>
  <si>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</si>
  <si>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</si>
  <si>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</si>
  <si>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</si>
  <si>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</si>
  <si>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</si>
  <si>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</si>
  <si>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</si>
  <si>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</si>
  <si>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</si>
  <si>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</si>
  <si>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</si>
  <si>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</si>
  <si>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</si>
  <si>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</si>
  <si>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</si>
  <si>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</si>
  <si>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</si>
  <si>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</si>
  <si>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</si>
  <si>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</si>
  <si>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</si>
  <si>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</si>
  <si>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</si>
  <si>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</si>
  <si>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</si>
  <si>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</si>
  <si>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</si>
  <si>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</si>
  <si>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</si>
  <si>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</si>
  <si>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</si>
  <si>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</si>
  <si>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</si>
  <si>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</si>
  <si>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</si>
  <si>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</si>
  <si>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</si>
  <si>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</si>
  <si>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</si>
  <si>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</si>
  <si>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</si>
  <si>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</si>
  <si>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</si>
  <si>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</si>
  <si>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</si>
  <si>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</si>
  <si>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</si>
  <si>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</si>
  <si>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</si>
  <si>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</si>
  <si>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</si>
  <si>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</si>
  <si>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</si>
  <si>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</si>
  <si>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</si>
  <si>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</si>
  <si>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</si>
  <si>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</si>
  <si>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</si>
  <si>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</si>
  <si>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</si>
  <si>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</si>
  <si>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</si>
  <si>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</si>
  <si>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</si>
  <si>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</si>
  <si>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</si>
  <si>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</si>
  <si>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</si>
  <si>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</si>
  <si>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</si>
  <si>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</si>
  <si>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</si>
  <si>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</si>
  <si>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</si>
  <si>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</si>
  <si>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</si>
  <si>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</si>
  <si>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</si>
  <si>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</si>
  <si>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</si>
  <si>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</si>
  <si>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</si>
  <si>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</si>
  <si>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</si>
  <si>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</si>
  <si>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</si>
  <si>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</si>
  <si>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</si>
  <si>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</si>
  <si>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</si>
  <si>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</si>
  <si>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</si>
  <si>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</si>
  <si>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</si>
  <si>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</si>
  <si>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</si>
  <si>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</si>
  <si>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</si>
  <si>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</si>
  <si>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</si>
  <si>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</si>
  <si>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</si>
  <si>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</si>
  <si>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</si>
  <si>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</si>
  <si>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</si>
  <si>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</si>
  <si>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</si>
  <si>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</si>
  <si>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</si>
  <si>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</si>
  <si>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</si>
  <si>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</si>
  <si>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</si>
  <si>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</si>
  <si>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</si>
  <si>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</si>
  <si>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</si>
  <si>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</si>
  <si>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</si>
  <si>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</si>
  <si>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</si>
  <si>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</si>
  <si>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</si>
  <si>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</si>
  <si>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</si>
  <si>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</si>
  <si>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</si>
  <si>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</si>
  <si>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</si>
  <si>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</si>
  <si>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</si>
  <si>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</si>
  <si>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</si>
  <si>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</si>
  <si>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</si>
  <si>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</si>
  <si>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</si>
  <si>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</si>
  <si>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</si>
  <si>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</si>
  <si>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</si>
  <si>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</si>
  <si>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</si>
  <si>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</si>
  <si>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</si>
  <si>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</si>
  <si>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</si>
  <si>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</si>
  <si>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</si>
  <si>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</si>
  <si>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</si>
  <si>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</si>
  <si>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</si>
  <si>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</si>
  <si>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</si>
  <si>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</si>
  <si>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</si>
  <si>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</si>
  <si>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</si>
  <si>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</si>
  <si>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</si>
  <si>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</si>
  <si>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</si>
  <si>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</si>
  <si>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</si>
  <si>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</si>
  <si>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</si>
  <si>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</si>
  <si>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</si>
  <si>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</si>
  <si>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</si>
  <si>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</si>
  <si>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</si>
  <si>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</si>
  <si>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</si>
  <si>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</si>
  <si>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</si>
  <si>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</si>
  <si>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</si>
  <si>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</si>
  <si>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</si>
  <si>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</si>
  <si>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</si>
  <si>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</si>
  <si>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</si>
  <si>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</si>
  <si>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</si>
  <si>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</si>
  <si>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</si>
  <si>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</si>
  <si>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</si>
  <si>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</si>
  <si>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</si>
  <si>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</si>
  <si>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</si>
  <si>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</si>
  <si>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</si>
  <si>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</si>
  <si>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</si>
  <si>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</si>
  <si>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</si>
  <si>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</si>
  <si>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</si>
  <si>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</si>
  <si>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</si>
  <si>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</si>
  <si>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</si>
  <si>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</si>
  <si>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</si>
  <si>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</si>
  <si>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</si>
  <si>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</si>
  <si>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</si>
  <si>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</si>
  <si>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</si>
  <si>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</si>
  <si>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</si>
  <si>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</si>
  <si>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</si>
  <si>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</si>
  <si>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</si>
  <si>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</si>
  <si>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</si>
  <si>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</si>
  <si>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</si>
  <si>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</si>
  <si>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</si>
  <si>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</si>
  <si>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</si>
  <si>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</si>
  <si>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</si>
  <si>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</si>
  <si>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</si>
  <si>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</si>
  <si>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</si>
  <si>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</si>
  <si>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</si>
  <si>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</si>
  <si>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</si>
  <si>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</si>
  <si>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</si>
  <si>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</si>
  <si>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</si>
  <si>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</si>
  <si>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</si>
  <si>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</si>
  <si>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</si>
  <si>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</si>
  <si>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</si>
  <si>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</si>
  <si>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</si>
  <si>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</si>
  <si>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</si>
  <si>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</si>
  <si>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</si>
  <si>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</si>
  <si>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</si>
  <si>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</si>
  <si>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</si>
  <si>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</si>
  <si>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</si>
  <si>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</si>
  <si>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</si>
  <si>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</si>
  <si>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</si>
  <si>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</si>
  <si>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</si>
  <si>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</si>
  <si>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</si>
  <si>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</si>
  <si>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</si>
  <si>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</si>
  <si>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</si>
  <si>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</si>
  <si>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</si>
  <si>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</si>
  <si>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</si>
  <si>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</si>
  <si>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</si>
  <si>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</si>
  <si>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</si>
  <si>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</si>
  <si>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</si>
  <si>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</si>
  <si>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</si>
  <si>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</si>
  <si>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</si>
  <si>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</si>
  <si>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</si>
  <si>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</si>
  <si>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</si>
  <si>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</si>
  <si>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</si>
  <si>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</si>
  <si>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</si>
  <si>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</si>
  <si>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</si>
  <si>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</si>
  <si>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</si>
  <si>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</si>
  <si>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</si>
  <si>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</si>
  <si>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</si>
  <si>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</si>
  <si>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</si>
  <si>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</si>
  <si>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</si>
  <si>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</si>
  <si>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</si>
  <si>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</si>
  <si>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</si>
  <si>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</si>
  <si>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</si>
  <si>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</si>
  <si>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</si>
  <si>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</si>
  <si>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</si>
  <si>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</si>
  <si>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</si>
  <si>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</si>
  <si>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</si>
  <si>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</si>
  <si>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</si>
  <si>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</si>
  <si>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</si>
  <si>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</si>
  <si>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</si>
  <si>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</si>
  <si>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</si>
  <si>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</si>
  <si>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</si>
  <si>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</si>
  <si>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</si>
  <si>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</si>
  <si>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</si>
  <si>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</si>
  <si>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</si>
  <si>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</si>
  <si>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</si>
  <si>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</si>
  <si>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</si>
  <si>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</si>
  <si>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</si>
  <si>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</si>
  <si>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</si>
  <si>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</si>
  <si>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</si>
  <si>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</si>
  <si>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</si>
  <si>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</si>
  <si>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</si>
  <si>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</si>
  <si>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</si>
  <si>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</si>
  <si>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</si>
  <si>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</si>
  <si>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</si>
  <si>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</si>
  <si>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</si>
  <si>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</si>
  <si>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</si>
  <si>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</si>
  <si>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</si>
  <si>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</si>
  <si>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</si>
  <si>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</si>
  <si>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</si>
  <si>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</si>
  <si>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</si>
  <si>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</si>
  <si>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</si>
  <si>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</si>
  <si>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</si>
  <si>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</si>
  <si>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</si>
  <si>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</si>
  <si>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</si>
  <si>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</si>
  <si>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</si>
  <si>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</si>
  <si>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</si>
  <si>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</si>
  <si>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</si>
  <si>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</si>
  <si>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</si>
  <si>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</si>
  <si>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</si>
  <si>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</si>
  <si>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</si>
  <si>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</si>
  <si>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</si>
  <si>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</si>
  <si>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</si>
  <si>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</si>
  <si>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</si>
  <si>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</si>
  <si>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</si>
  <si>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</si>
  <si>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</si>
  <si>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</si>
  <si>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</si>
  <si>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</si>
  <si>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</si>
  <si>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</si>
  <si>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</si>
  <si>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</si>
  <si>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</si>
  <si>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</si>
  <si>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</si>
  <si>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</si>
  <si>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</si>
  <si>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</si>
  <si>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</si>
  <si>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</si>
  <si>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</si>
  <si>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</si>
  <si>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</si>
  <si>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</si>
  <si>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</si>
  <si>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</si>
  <si>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</si>
  <si>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</si>
  <si>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</si>
  <si>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</si>
  <si>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</si>
  <si>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</si>
  <si>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</si>
  <si>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</si>
  <si>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</si>
  <si>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</si>
  <si>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</si>
  <si>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</si>
  <si>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</si>
  <si>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</si>
  <si>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</si>
  <si>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</si>
  <si>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</si>
  <si>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</si>
  <si>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</si>
  <si>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</si>
  <si>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</si>
  <si>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</si>
  <si>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</si>
  <si>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</si>
  <si>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</si>
  <si>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</si>
  <si>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</si>
  <si>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</si>
  <si>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</si>
  <si>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</si>
  <si>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</si>
  <si>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</si>
  <si>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</si>
  <si>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</si>
  <si>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</si>
  <si>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</si>
  <si>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</si>
  <si>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</si>
  <si>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</si>
  <si>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</si>
  <si>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</si>
  <si>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</si>
  <si>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</si>
  <si>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</si>
  <si>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</si>
  <si>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</si>
  <si>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</si>
  <si>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</si>
  <si>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</si>
  <si>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</si>
  <si>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</si>
  <si>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</si>
  <si>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</si>
  <si>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</si>
  <si>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</si>
  <si>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</si>
  <si>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</si>
  <si>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</si>
  <si>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</si>
  <si>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</si>
  <si>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</si>
  <si>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</si>
  <si>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</si>
  <si>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</si>
  <si>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</si>
  <si>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</si>
  <si>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</si>
  <si>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</si>
  <si>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</si>
  <si>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</si>
  <si>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</si>
  <si>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</si>
  <si>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</si>
  <si>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</si>
  <si>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</si>
  <si>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</si>
  <si>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</si>
  <si>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</si>
  <si>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</si>
  <si>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</si>
  <si>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</si>
  <si>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</si>
  <si>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</si>
  <si>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</si>
  <si>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</si>
  <si>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</si>
  <si>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</si>
  <si>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</si>
  <si>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</si>
  <si>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</si>
  <si>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</si>
  <si>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</si>
  <si>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</si>
  <si>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</si>
  <si>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</si>
  <si>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</si>
  <si>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</si>
  <si>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</si>
  <si>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</si>
  <si>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</si>
  <si>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</si>
  <si>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</si>
  <si>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</si>
  <si>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</si>
  <si>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</si>
  <si>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</si>
  <si>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</si>
  <si>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</si>
  <si>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</si>
  <si>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</si>
  <si>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</si>
  <si>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</si>
  <si>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</si>
  <si>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</si>
  <si>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</si>
  <si>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</si>
  <si>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</si>
  <si>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</si>
  <si>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</si>
  <si>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</si>
  <si>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</si>
  <si>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</si>
  <si>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</si>
  <si>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</si>
  <si>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</si>
  <si>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</si>
  <si>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</si>
  <si>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</si>
  <si>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</si>
  <si>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</si>
  <si>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</si>
  <si>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</si>
  <si>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</si>
  <si>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</si>
  <si>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</si>
  <si>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</si>
  <si>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</si>
  <si>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</si>
  <si>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</si>
  <si>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</si>
  <si>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</si>
  <si>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</si>
  <si>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</si>
  <si>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</si>
  <si>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</si>
  <si>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</si>
  <si>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</si>
  <si>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</si>
  <si>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</si>
  <si>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</si>
  <si>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</si>
  <si>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</si>
  <si>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</si>
  <si>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</si>
  <si>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</si>
  <si>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</si>
  <si>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</si>
  <si>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</si>
  <si>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</si>
  <si>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</si>
  <si>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</si>
  <si>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</si>
  <si>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</si>
  <si>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</si>
  <si>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</si>
  <si>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</si>
  <si>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</si>
  <si>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</si>
  <si>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</si>
  <si>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</si>
  <si>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</si>
  <si>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</si>
  <si>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</si>
  <si>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</si>
  <si>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</si>
  <si>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</si>
  <si>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</si>
  <si>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</si>
  <si>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</si>
  <si>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</si>
  <si>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</si>
  <si>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</si>
  <si>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</si>
  <si>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</si>
  <si>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</si>
  <si>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</si>
  <si>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</si>
  <si>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</si>
  <si>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</si>
  <si>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</si>
  <si>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</si>
  <si>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</si>
  <si>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</si>
  <si>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</si>
  <si>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</si>
  <si>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</si>
  <si>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</si>
  <si>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</si>
  <si>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</si>
  <si>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</si>
  <si>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</si>
  <si>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</si>
  <si>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</si>
  <si>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</si>
  <si>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</si>
  <si>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</si>
  <si>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</si>
  <si>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</si>
  <si>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</si>
  <si>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</si>
  <si>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</si>
  <si>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</si>
  <si>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</si>
  <si>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</si>
  <si>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</si>
  <si>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</si>
  <si>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</si>
  <si>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</si>
  <si>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</si>
  <si>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</si>
  <si>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</si>
  <si>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</si>
  <si>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</si>
  <si>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</si>
  <si>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</si>
  <si>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</si>
  <si>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</si>
  <si>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</si>
  <si>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</si>
  <si>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</si>
  <si>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</si>
  <si>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</si>
  <si>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</si>
  <si>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</si>
  <si>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</si>
  <si>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</si>
  <si>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</si>
  <si>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</si>
  <si>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</si>
  <si>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</si>
  <si>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</si>
  <si>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</si>
  <si>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</si>
  <si>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</si>
  <si>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</si>
  <si>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</si>
  <si>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</si>
  <si>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</si>
  <si>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</si>
  <si>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</si>
  <si>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</si>
  <si>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</si>
  <si>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</si>
  <si>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</si>
  <si>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</si>
  <si>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</si>
  <si>
    <t>Concatenate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</si>
</sst>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2" tint="-0.49998474074526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18" fillId="0" borderId="13" xfId="0" applyFont="1" applyBorder="1"/>
    <xf numFmtId="0" fontId="18" fillId="0" borderId="14" xfId="0" applyFont="1" applyBorder="1"/>
    <xf numFmtId="164" fontId="18" fillId="0" borderId="15" xfId="0" applyNumberFormat="1" applyFont="1" applyBorder="1"/>
    <xf numFmtId="164" fontId="0" fillId="0" borderId="15" xfId="0" applyNumberFormat="1" applyBorder="1"/>
    <xf numFmtId="164" fontId="0" fillId="0" borderId="12" xfId="0" applyNumberFormat="1" applyBorder="1"/>
    <xf numFmtId="164" fontId="0" fillId="0" borderId="0" xfId="0" applyNumberFormat="1"/>
    <xf numFmtId="14" fontId="18" fillId="0" borderId="14" xfId="0" applyNumberFormat="1" applyFont="1" applyBorder="1"/>
    <xf numFmtId="14" fontId="0" fillId="0" borderId="0" xfId="0" applyNumberFormat="1"/>
    <xf numFmtId="0" fontId="19" fillId="33" borderId="0" xfId="0" applyFont="1" applyFill="1"/>
    <xf numFmtId="10" fontId="19" fillId="33" borderId="0" xfId="0" applyNumberFormat="1" applyFont="1" applyFill="1"/>
    <xf numFmtId="9" fontId="19" fillId="33" borderId="0" xfId="0" applyNumberFormat="1" applyFont="1" applyFill="1"/>
    <xf numFmtId="164" fontId="20" fillId="0" borderId="0" xfId="0" applyNumberFormat="1" applyFon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externalLink" Target="externalLinks/externalLink1.xml"/><Relationship Id="rId21" Type="http://schemas.openxmlformats.org/officeDocument/2006/relationships/customXml" Target="../customXml/item1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tail_sales_datas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_sales_datas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34D6-9D2D-4F8F-BE3B-1B05772AE2FC}">
  <dimension ref="A1:S1002"/>
  <sheetViews>
    <sheetView tabSelected="1" zoomScaleNormal="100" workbookViewId="0">
      <selection sqref="A1:A1048576"/>
    </sheetView>
  </sheetViews>
  <sheetFormatPr defaultColWidth="11.25" defaultRowHeight="15.75"/>
  <cols>
    <col min="1" max="1" width="15.125" bestFit="1" customWidth="1"/>
    <col min="2" max="2" width="10.625" style="15" bestFit="1" customWidth="1"/>
    <col min="3" max="3" width="10.625" customWidth="1"/>
    <col min="4" max="4" width="13.25" bestFit="1" customWidth="1"/>
    <col min="5" max="5" width="9.125" bestFit="1" customWidth="1"/>
    <col min="6" max="6" width="6.125" bestFit="1" customWidth="1"/>
    <col min="7" max="7" width="17" customWidth="1"/>
    <col min="8" max="8" width="17.5" bestFit="1" customWidth="1"/>
    <col min="9" max="9" width="10.375" bestFit="1" customWidth="1"/>
    <col min="10" max="10" width="15.375" style="13" bestFit="1" customWidth="1"/>
    <col min="11" max="11" width="11.75" style="13" bestFit="1" customWidth="1"/>
    <col min="12" max="13" width="16.5" style="19" bestFit="1" customWidth="1"/>
    <col min="14" max="14" width="21.875" style="13" bestFit="1" customWidth="1"/>
    <col min="15" max="15" width="20.75" customWidth="1"/>
    <col min="16" max="16" width="12" customWidth="1"/>
    <col min="17" max="17" width="5.875" customWidth="1"/>
    <col min="18" max="18" width="14.375" bestFit="1" customWidth="1"/>
    <col min="19" max="19" width="11" bestFit="1" customWidth="1"/>
    <col min="20" max="20" width="3.75" customWidth="1"/>
  </cols>
  <sheetData>
    <row r="1" spans="1:16">
      <c r="A1" s="8" t="s">
        <v>0</v>
      </c>
      <c r="B1" s="14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0" t="s">
        <v>9</v>
      </c>
      <c r="K1" s="20" t="s">
        <v>10</v>
      </c>
      <c r="L1" s="19" t="s">
        <v>11</v>
      </c>
      <c r="M1" s="19" t="s">
        <v>12</v>
      </c>
      <c r="N1" s="13" t="s">
        <v>13</v>
      </c>
      <c r="O1" s="16"/>
      <c r="P1" s="16" t="s">
        <v>14</v>
      </c>
    </row>
    <row r="2" spans="1:16">
      <c r="A2" s="2">
        <v>1</v>
      </c>
      <c r="B2" s="3">
        <v>45254</v>
      </c>
      <c r="C2" s="4">
        <f>YEAR(B2)</f>
        <v>2023</v>
      </c>
      <c r="D2" s="4" t="s">
        <v>15</v>
      </c>
      <c r="E2" s="4" t="s">
        <v>16</v>
      </c>
      <c r="F2" s="4">
        <v>34</v>
      </c>
      <c r="G2" s="4" t="str" cm="1">
        <f t="array" ref="G2">_xlfn.IFS(F2&lt;30,"Young Adult",F2&lt;50,"Adult",F2&gt;=50,"Senior")</f>
        <v>Adult</v>
      </c>
      <c r="H2" s="4" t="s">
        <v>17</v>
      </c>
      <c r="I2" s="4">
        <v>3</v>
      </c>
      <c r="J2" s="11">
        <v>50</v>
      </c>
      <c r="K2" s="13">
        <f>I2*J2</f>
        <v>150</v>
      </c>
      <c r="L2" s="19">
        <f>K2*$P$2</f>
        <v>2.25</v>
      </c>
      <c r="M2" s="19">
        <f>K2*$P$3</f>
        <v>3</v>
      </c>
      <c r="N2" s="13" cm="1">
        <f t="array" ref="N2">_xlfn.IFS(C2=2023,K2*$P$2,C2=2024,K2*$P$3)</f>
        <v>2.25</v>
      </c>
      <c r="O2" s="16" t="s">
        <v>18</v>
      </c>
      <c r="P2" s="17">
        <v>1.4999999999999999E-2</v>
      </c>
    </row>
    <row r="3" spans="1:16">
      <c r="A3" s="2">
        <v>2</v>
      </c>
      <c r="B3" s="3">
        <v>44984</v>
      </c>
      <c r="C3" s="4">
        <f t="shared" ref="C3:C66" si="0">YEAR(B3)</f>
        <v>2023</v>
      </c>
      <c r="D3" s="4" t="s">
        <v>19</v>
      </c>
      <c r="E3" s="4" t="s">
        <v>20</v>
      </c>
      <c r="F3" s="4">
        <v>26</v>
      </c>
      <c r="G3" s="4" t="str" cm="1">
        <f t="array" ref="G3">_xlfn.IFS(F3&lt;30,"Young Adult",F3&lt;50,"Adult",F3&gt;=50,"Senior")</f>
        <v>Young Adult</v>
      </c>
      <c r="H3" s="4" t="s">
        <v>21</v>
      </c>
      <c r="I3" s="4">
        <v>2</v>
      </c>
      <c r="J3" s="11">
        <v>500</v>
      </c>
      <c r="K3" s="13">
        <f>I3*J3</f>
        <v>1000</v>
      </c>
      <c r="L3" s="19">
        <f t="shared" ref="L3:L66" si="1">K3*$P$2</f>
        <v>15</v>
      </c>
      <c r="M3" s="19">
        <f t="shared" ref="M3:M66" si="2">K3*$P$3</f>
        <v>20</v>
      </c>
      <c r="N3" s="13" cm="1">
        <f t="array" ref="N3">_xlfn.IFS(C3=2023,K3*$P$2,C3=2024,K3*$P$3)</f>
        <v>15</v>
      </c>
      <c r="O3" s="16" t="s">
        <v>22</v>
      </c>
      <c r="P3" s="18">
        <v>0.02</v>
      </c>
    </row>
    <row r="4" spans="1:16">
      <c r="A4" s="2">
        <v>3</v>
      </c>
      <c r="B4" s="3">
        <v>44939</v>
      </c>
      <c r="C4" s="4">
        <f t="shared" si="0"/>
        <v>2023</v>
      </c>
      <c r="D4" s="4" t="s">
        <v>23</v>
      </c>
      <c r="E4" s="4" t="s">
        <v>16</v>
      </c>
      <c r="F4" s="4">
        <v>50</v>
      </c>
      <c r="G4" s="4" t="str" cm="1">
        <f t="array" ref="G4">_xlfn.IFS(F4&lt;30,"Young Adult",F4&lt;50,"Adult",F4&gt;=50,"Senior")</f>
        <v>Senior</v>
      </c>
      <c r="H4" s="4" t="s">
        <v>24</v>
      </c>
      <c r="I4" s="4">
        <v>1</v>
      </c>
      <c r="J4" s="11">
        <v>30</v>
      </c>
      <c r="K4" s="13">
        <f>I4*J4</f>
        <v>30</v>
      </c>
      <c r="L4" s="19">
        <f t="shared" si="1"/>
        <v>0.44999999999999996</v>
      </c>
      <c r="M4" s="19">
        <f t="shared" si="2"/>
        <v>0.6</v>
      </c>
      <c r="N4" s="13" cm="1">
        <f t="array" ref="N4">_xlfn.IFS(C4=2023,K4*$P$2,C4=2024,K4*$P$3)</f>
        <v>0.44999999999999996</v>
      </c>
    </row>
    <row r="5" spans="1:16">
      <c r="A5" s="2">
        <v>4</v>
      </c>
      <c r="B5" s="3">
        <v>45067</v>
      </c>
      <c r="C5" s="4">
        <f t="shared" si="0"/>
        <v>2023</v>
      </c>
      <c r="D5" s="4" t="s">
        <v>25</v>
      </c>
      <c r="E5" s="4" t="s">
        <v>16</v>
      </c>
      <c r="F5" s="4">
        <v>37</v>
      </c>
      <c r="G5" s="4" t="str" cm="1">
        <f t="array" ref="G5">_xlfn.IFS(F5&lt;30,"Young Adult",F5&lt;50,"Adult",F5&gt;=50,"Senior")</f>
        <v>Adult</v>
      </c>
      <c r="H5" s="4" t="s">
        <v>21</v>
      </c>
      <c r="I5" s="4">
        <v>1</v>
      </c>
      <c r="J5" s="11">
        <v>500</v>
      </c>
      <c r="K5" s="13">
        <f>I5*J5</f>
        <v>500</v>
      </c>
      <c r="L5" s="19">
        <f t="shared" si="1"/>
        <v>7.5</v>
      </c>
      <c r="M5" s="19">
        <f t="shared" si="2"/>
        <v>10</v>
      </c>
      <c r="N5" s="13" cm="1">
        <f t="array" ref="N5">_xlfn.IFS(C5=2023,K5*$P$2,C5=2024,K5*$P$3)</f>
        <v>7.5</v>
      </c>
    </row>
    <row r="6" spans="1:16">
      <c r="A6" s="2">
        <v>5</v>
      </c>
      <c r="B6" s="3">
        <v>45052</v>
      </c>
      <c r="C6" s="4">
        <f t="shared" si="0"/>
        <v>2023</v>
      </c>
      <c r="D6" s="4" t="s">
        <v>26</v>
      </c>
      <c r="E6" s="4" t="s">
        <v>16</v>
      </c>
      <c r="F6" s="4">
        <v>30</v>
      </c>
      <c r="G6" s="4" t="str" cm="1">
        <f t="array" ref="G6">_xlfn.IFS(F6&lt;30,"Young Adult",F6&lt;50,"Adult",F6&gt;=50,"Senior")</f>
        <v>Adult</v>
      </c>
      <c r="H6" s="4" t="s">
        <v>17</v>
      </c>
      <c r="I6" s="4">
        <v>2</v>
      </c>
      <c r="J6" s="11">
        <v>50</v>
      </c>
      <c r="K6" s="13">
        <f>I6*J6</f>
        <v>100</v>
      </c>
      <c r="L6" s="19">
        <f t="shared" si="1"/>
        <v>1.5</v>
      </c>
      <c r="M6" s="19">
        <f t="shared" si="2"/>
        <v>2</v>
      </c>
      <c r="N6" s="13" cm="1">
        <f t="array" ref="N6">_xlfn.IFS(C6=2023,K6*$P$2,C6=2024,K6*$P$3)</f>
        <v>1.5</v>
      </c>
    </row>
    <row r="7" spans="1:16">
      <c r="A7" s="2">
        <v>6</v>
      </c>
      <c r="B7" s="3">
        <v>45041</v>
      </c>
      <c r="C7" s="4">
        <f t="shared" si="0"/>
        <v>2023</v>
      </c>
      <c r="D7" s="4" t="s">
        <v>27</v>
      </c>
      <c r="E7" s="4" t="s">
        <v>20</v>
      </c>
      <c r="F7" s="4">
        <v>45</v>
      </c>
      <c r="G7" s="4" t="str" cm="1">
        <f t="array" ref="G7">_xlfn.IFS(F7&lt;30,"Young Adult",F7&lt;50,"Adult",F7&gt;=50,"Senior")</f>
        <v>Adult</v>
      </c>
      <c r="H7" s="4" t="s">
        <v>17</v>
      </c>
      <c r="I7" s="4">
        <v>1</v>
      </c>
      <c r="J7" s="11">
        <v>30</v>
      </c>
      <c r="K7" s="13">
        <f>I7*J7</f>
        <v>30</v>
      </c>
      <c r="L7" s="19">
        <f t="shared" si="1"/>
        <v>0.44999999999999996</v>
      </c>
      <c r="M7" s="19">
        <f t="shared" si="2"/>
        <v>0.6</v>
      </c>
      <c r="N7" s="13" cm="1">
        <f t="array" ref="N7">_xlfn.IFS(C7=2023,K7*$P$2,C7=2024,K7*$P$3)</f>
        <v>0.44999999999999996</v>
      </c>
    </row>
    <row r="8" spans="1:16">
      <c r="A8" s="2">
        <v>7</v>
      </c>
      <c r="B8" s="3">
        <v>44998</v>
      </c>
      <c r="C8" s="4">
        <f t="shared" si="0"/>
        <v>2023</v>
      </c>
      <c r="D8" s="4" t="s">
        <v>28</v>
      </c>
      <c r="E8" s="4" t="s">
        <v>16</v>
      </c>
      <c r="F8" s="4">
        <v>46</v>
      </c>
      <c r="G8" s="4" t="str" cm="1">
        <f t="array" ref="G8">_xlfn.IFS(F8&lt;30,"Young Adult",F8&lt;50,"Adult",F8&gt;=50,"Senior")</f>
        <v>Adult</v>
      </c>
      <c r="H8" s="4" t="s">
        <v>21</v>
      </c>
      <c r="I8" s="4">
        <v>2</v>
      </c>
      <c r="J8" s="11">
        <v>25</v>
      </c>
      <c r="K8" s="13">
        <f>I8*J8</f>
        <v>50</v>
      </c>
      <c r="L8" s="19">
        <f t="shared" si="1"/>
        <v>0.75</v>
      </c>
      <c r="M8" s="19">
        <f t="shared" si="2"/>
        <v>1</v>
      </c>
      <c r="N8" s="13" cm="1">
        <f t="array" ref="N8">_xlfn.IFS(C8=2023,K8*$P$2,C8=2024,K8*$P$3)</f>
        <v>0.75</v>
      </c>
    </row>
    <row r="9" spans="1:16">
      <c r="A9" s="2">
        <v>8</v>
      </c>
      <c r="B9" s="3">
        <v>44979</v>
      </c>
      <c r="C9" s="4">
        <f t="shared" si="0"/>
        <v>2023</v>
      </c>
      <c r="D9" s="4" t="s">
        <v>29</v>
      </c>
      <c r="E9" s="4" t="s">
        <v>16</v>
      </c>
      <c r="F9" s="4">
        <v>30</v>
      </c>
      <c r="G9" s="4" t="str" cm="1">
        <f t="array" ref="G9">_xlfn.IFS(F9&lt;30,"Young Adult",F9&lt;50,"Adult",F9&gt;=50,"Senior")</f>
        <v>Adult</v>
      </c>
      <c r="H9" s="4" t="s">
        <v>24</v>
      </c>
      <c r="I9" s="4">
        <v>4</v>
      </c>
      <c r="J9" s="11">
        <v>25</v>
      </c>
      <c r="K9" s="13">
        <f>I9*J9</f>
        <v>100</v>
      </c>
      <c r="L9" s="19">
        <f t="shared" si="1"/>
        <v>1.5</v>
      </c>
      <c r="M9" s="19">
        <f t="shared" si="2"/>
        <v>2</v>
      </c>
      <c r="N9" s="13" cm="1">
        <f t="array" ref="N9">_xlfn.IFS(C9=2023,K9*$P$2,C9=2024,K9*$P$3)</f>
        <v>1.5</v>
      </c>
    </row>
    <row r="10" spans="1:16">
      <c r="A10" s="2">
        <v>9</v>
      </c>
      <c r="B10" s="3">
        <v>45273</v>
      </c>
      <c r="C10" s="4">
        <f t="shared" si="0"/>
        <v>2023</v>
      </c>
      <c r="D10" s="4" t="s">
        <v>30</v>
      </c>
      <c r="E10" s="4" t="s">
        <v>16</v>
      </c>
      <c r="F10" s="4">
        <v>63</v>
      </c>
      <c r="G10" s="4" t="str" cm="1">
        <f t="array" ref="G10">_xlfn.IFS(F10&lt;30,"Young Adult",F10&lt;50,"Adult",F10&gt;=50,"Senior")</f>
        <v>Senior</v>
      </c>
      <c r="H10" s="4" t="s">
        <v>24</v>
      </c>
      <c r="I10" s="4">
        <v>2</v>
      </c>
      <c r="J10" s="11">
        <v>300</v>
      </c>
      <c r="K10" s="13">
        <f>I10*J10</f>
        <v>600</v>
      </c>
      <c r="L10" s="19">
        <f t="shared" si="1"/>
        <v>9</v>
      </c>
      <c r="M10" s="19">
        <f t="shared" si="2"/>
        <v>12</v>
      </c>
      <c r="N10" s="13" cm="1">
        <f t="array" ref="N10">_xlfn.IFS(C10=2023,K10*$P$2,C10=2024,K10*$P$3)</f>
        <v>9</v>
      </c>
      <c r="O10" t="s">
        <v>31</v>
      </c>
      <c r="P10" s="13">
        <f>SUM(N2:N1001)</f>
        <v>6847.6500000000005</v>
      </c>
    </row>
    <row r="11" spans="1:16">
      <c r="A11" s="2">
        <v>10</v>
      </c>
      <c r="B11" s="3">
        <v>45206</v>
      </c>
      <c r="C11" s="4">
        <f t="shared" si="0"/>
        <v>2023</v>
      </c>
      <c r="D11" s="4" t="s">
        <v>32</v>
      </c>
      <c r="E11" s="4" t="s">
        <v>20</v>
      </c>
      <c r="F11" s="4">
        <v>52</v>
      </c>
      <c r="G11" s="4" t="str" cm="1">
        <f t="array" ref="G11">_xlfn.IFS(F11&lt;30,"Young Adult",F11&lt;50,"Adult",F11&gt;=50,"Senior")</f>
        <v>Senior</v>
      </c>
      <c r="H11" s="4" t="s">
        <v>21</v>
      </c>
      <c r="I11" s="4">
        <v>4</v>
      </c>
      <c r="J11" s="11">
        <v>50</v>
      </c>
      <c r="K11" s="13">
        <f>I11*J11</f>
        <v>200</v>
      </c>
      <c r="L11" s="19">
        <f t="shared" si="1"/>
        <v>3</v>
      </c>
      <c r="M11" s="19">
        <f t="shared" si="2"/>
        <v>4</v>
      </c>
      <c r="N11" s="13" cm="1">
        <f t="array" ref="N11">_xlfn.IFS(C11=2023,K11*$P$2,C11=2024,K11*$P$3)</f>
        <v>3</v>
      </c>
      <c r="O11" t="s">
        <v>33</v>
      </c>
      <c r="P11" s="13">
        <f>AVERAGE(N2:N1001)</f>
        <v>6.8476500000000007</v>
      </c>
    </row>
    <row r="12" spans="1:16">
      <c r="A12" s="2">
        <v>11</v>
      </c>
      <c r="B12" s="3">
        <v>44971</v>
      </c>
      <c r="C12" s="4">
        <f t="shared" si="0"/>
        <v>2023</v>
      </c>
      <c r="D12" s="4" t="s">
        <v>34</v>
      </c>
      <c r="E12" s="4" t="s">
        <v>16</v>
      </c>
      <c r="F12" s="4">
        <v>23</v>
      </c>
      <c r="G12" s="4" t="str" cm="1">
        <f t="array" ref="G12">_xlfn.IFS(F12&lt;30,"Young Adult",F12&lt;50,"Adult",F12&gt;=50,"Senior")</f>
        <v>Young Adult</v>
      </c>
      <c r="H12" s="4" t="s">
        <v>21</v>
      </c>
      <c r="I12" s="4">
        <v>2</v>
      </c>
      <c r="J12" s="11">
        <v>50</v>
      </c>
      <c r="K12" s="13">
        <f>I12*J12</f>
        <v>100</v>
      </c>
      <c r="L12" s="19">
        <f t="shared" si="1"/>
        <v>1.5</v>
      </c>
      <c r="M12" s="19">
        <f t="shared" si="2"/>
        <v>2</v>
      </c>
      <c r="N12" s="13" cm="1">
        <f t="array" ref="N12">_xlfn.IFS(C12=2023,K12*$P$2,C12=2024,K12*$P$3)</f>
        <v>1.5</v>
      </c>
    </row>
    <row r="13" spans="1:16">
      <c r="A13" s="2">
        <v>12</v>
      </c>
      <c r="B13" s="3">
        <v>45229</v>
      </c>
      <c r="C13" s="4">
        <f t="shared" si="0"/>
        <v>2023</v>
      </c>
      <c r="D13" s="4" t="s">
        <v>35</v>
      </c>
      <c r="E13" s="4" t="s">
        <v>16</v>
      </c>
      <c r="F13" s="4">
        <v>35</v>
      </c>
      <c r="G13" s="4" t="str" cm="1">
        <f t="array" ref="G13">_xlfn.IFS(F13&lt;30,"Young Adult",F13&lt;50,"Adult",F13&gt;=50,"Senior")</f>
        <v>Adult</v>
      </c>
      <c r="H13" s="4" t="s">
        <v>17</v>
      </c>
      <c r="I13" s="4">
        <v>3</v>
      </c>
      <c r="J13" s="11">
        <v>25</v>
      </c>
      <c r="K13" s="13">
        <f>I13*J13</f>
        <v>75</v>
      </c>
      <c r="L13" s="19">
        <f t="shared" si="1"/>
        <v>1.125</v>
      </c>
      <c r="M13" s="19">
        <f t="shared" si="2"/>
        <v>1.5</v>
      </c>
      <c r="N13" s="13" cm="1">
        <f t="array" ref="N13">_xlfn.IFS(C13=2023,K13*$P$2,C13=2024,K13*$P$3)</f>
        <v>1.125</v>
      </c>
      <c r="O13" t="s">
        <v>31</v>
      </c>
      <c r="P13" s="13">
        <f>SUM(N2:N1001)</f>
        <v>6847.6500000000005</v>
      </c>
    </row>
    <row r="14" spans="1:16">
      <c r="A14" s="2">
        <v>13</v>
      </c>
      <c r="B14" s="3">
        <v>45143</v>
      </c>
      <c r="C14" s="4">
        <f t="shared" si="0"/>
        <v>2023</v>
      </c>
      <c r="D14" s="4" t="s">
        <v>36</v>
      </c>
      <c r="E14" s="4" t="s">
        <v>16</v>
      </c>
      <c r="F14" s="4">
        <v>22</v>
      </c>
      <c r="G14" s="4" t="str" cm="1">
        <f t="array" ref="G14">_xlfn.IFS(F14&lt;30,"Young Adult",F14&lt;50,"Adult",F14&gt;=50,"Senior")</f>
        <v>Young Adult</v>
      </c>
      <c r="H14" s="4" t="s">
        <v>24</v>
      </c>
      <c r="I14" s="4">
        <v>3</v>
      </c>
      <c r="J14" s="11">
        <v>500</v>
      </c>
      <c r="K14" s="13">
        <f>I14*J14</f>
        <v>1500</v>
      </c>
      <c r="L14" s="19">
        <f t="shared" si="1"/>
        <v>22.5</v>
      </c>
      <c r="M14" s="19">
        <f t="shared" si="2"/>
        <v>30</v>
      </c>
      <c r="N14" s="13" cm="1">
        <f t="array" ref="N14">_xlfn.IFS(C14=2023,K14*$P$2,C14=2024,K14*$P$3)</f>
        <v>22.5</v>
      </c>
      <c r="O14" t="s">
        <v>37</v>
      </c>
      <c r="P14" s="13">
        <f>SUMIF(C:C,2023,K:K)</f>
        <v>454470</v>
      </c>
    </row>
    <row r="15" spans="1:16">
      <c r="A15" s="2">
        <v>14</v>
      </c>
      <c r="B15" s="3">
        <v>44943</v>
      </c>
      <c r="C15" s="4">
        <f t="shared" si="0"/>
        <v>2023</v>
      </c>
      <c r="D15" s="4" t="s">
        <v>38</v>
      </c>
      <c r="E15" s="4" t="s">
        <v>16</v>
      </c>
      <c r="F15" s="4">
        <v>64</v>
      </c>
      <c r="G15" s="4" t="str" cm="1">
        <f t="array" ref="G15">_xlfn.IFS(F15&lt;30,"Young Adult",F15&lt;50,"Adult",F15&gt;=50,"Senior")</f>
        <v>Senior</v>
      </c>
      <c r="H15" s="4" t="s">
        <v>21</v>
      </c>
      <c r="I15" s="4">
        <v>4</v>
      </c>
      <c r="J15" s="11">
        <v>30</v>
      </c>
      <c r="K15" s="13">
        <f>I15*J15</f>
        <v>120</v>
      </c>
      <c r="L15" s="19">
        <f t="shared" si="1"/>
        <v>1.7999999999999998</v>
      </c>
      <c r="M15" s="19">
        <f t="shared" si="2"/>
        <v>2.4</v>
      </c>
      <c r="N15" s="13" cm="1">
        <f t="array" ref="N15">_xlfn.IFS(C15=2023,K15*$P$2,C15=2024,K15*$P$3)</f>
        <v>1.7999999999999998</v>
      </c>
      <c r="O15" t="s">
        <v>39</v>
      </c>
      <c r="P15" s="13">
        <f>SUMIF(C:C,2024,K:K)</f>
        <v>1530</v>
      </c>
    </row>
    <row r="16" spans="1:16">
      <c r="A16" s="2">
        <v>15</v>
      </c>
      <c r="B16" s="3">
        <v>44942</v>
      </c>
      <c r="C16" s="4">
        <f t="shared" si="0"/>
        <v>2023</v>
      </c>
      <c r="D16" s="4" t="s">
        <v>40</v>
      </c>
      <c r="E16" s="4" t="s">
        <v>20</v>
      </c>
      <c r="F16" s="4">
        <v>42</v>
      </c>
      <c r="G16" s="4" t="str" cm="1">
        <f t="array" ref="G16">_xlfn.IFS(F16&lt;30,"Young Adult",F16&lt;50,"Adult",F16&gt;=50,"Senior")</f>
        <v>Adult</v>
      </c>
      <c r="H16" s="4" t="s">
        <v>24</v>
      </c>
      <c r="I16" s="4">
        <v>4</v>
      </c>
      <c r="J16" s="11">
        <v>500</v>
      </c>
      <c r="K16" s="13">
        <f>I16*J16</f>
        <v>2000</v>
      </c>
      <c r="L16" s="19">
        <f t="shared" si="1"/>
        <v>30</v>
      </c>
      <c r="M16" s="19">
        <f t="shared" si="2"/>
        <v>40</v>
      </c>
      <c r="N16" s="13" cm="1">
        <f t="array" ref="N16">_xlfn.IFS(C16=2023,K16*$P$2,C16=2024,K16*$P$3)</f>
        <v>30</v>
      </c>
      <c r="O16" t="s">
        <v>41</v>
      </c>
      <c r="P16" s="13">
        <f>AVERAGEIF(C:C,2023,K:K)</f>
        <v>455.38076152304609</v>
      </c>
    </row>
    <row r="17" spans="1:19">
      <c r="A17" s="2">
        <v>16</v>
      </c>
      <c r="B17" s="3">
        <v>44974</v>
      </c>
      <c r="C17" s="4">
        <f t="shared" si="0"/>
        <v>2023</v>
      </c>
      <c r="D17" s="4" t="s">
        <v>42</v>
      </c>
      <c r="E17" s="4" t="s">
        <v>16</v>
      </c>
      <c r="F17" s="4">
        <v>19</v>
      </c>
      <c r="G17" s="4" t="str" cm="1">
        <f t="array" ref="G17">_xlfn.IFS(F17&lt;30,"Young Adult",F17&lt;50,"Adult",F17&gt;=50,"Senior")</f>
        <v>Young Adult</v>
      </c>
      <c r="H17" s="4" t="s">
        <v>21</v>
      </c>
      <c r="I17" s="4">
        <v>3</v>
      </c>
      <c r="J17" s="11">
        <v>500</v>
      </c>
      <c r="K17" s="13">
        <f>I17*J17</f>
        <v>1500</v>
      </c>
      <c r="L17" s="19">
        <f t="shared" si="1"/>
        <v>22.5</v>
      </c>
      <c r="M17" s="19">
        <f t="shared" si="2"/>
        <v>30</v>
      </c>
      <c r="N17" s="13" cm="1">
        <f t="array" ref="N17">_xlfn.IFS(C17=2023,K17*$P$2,C17=2024,K17*$P$3)</f>
        <v>22.5</v>
      </c>
      <c r="O17" t="s">
        <v>43</v>
      </c>
      <c r="P17" s="13">
        <f>AVERAGEIF(C:C,2024,K:K)</f>
        <v>765</v>
      </c>
      <c r="R17">
        <f>AVERAGEIFS(K:K,B:B,"&gt;="&amp;DATE(2024,1,1),B:B,"&lt;"&amp;DATE(2025,1,1))</f>
        <v>765</v>
      </c>
    </row>
    <row r="18" spans="1:19">
      <c r="A18" s="2">
        <v>17</v>
      </c>
      <c r="B18" s="3">
        <v>45038</v>
      </c>
      <c r="C18" s="4">
        <f t="shared" si="0"/>
        <v>2023</v>
      </c>
      <c r="D18" s="4" t="s">
        <v>44</v>
      </c>
      <c r="E18" s="4" t="s">
        <v>20</v>
      </c>
      <c r="F18" s="4">
        <v>27</v>
      </c>
      <c r="G18" s="4" t="str" cm="1">
        <f t="array" ref="G18">_xlfn.IFS(F18&lt;30,"Young Adult",F18&lt;50,"Adult",F18&gt;=50,"Senior")</f>
        <v>Young Adult</v>
      </c>
      <c r="H18" s="4" t="s">
        <v>21</v>
      </c>
      <c r="I18" s="4">
        <v>4</v>
      </c>
      <c r="J18" s="11">
        <v>25</v>
      </c>
      <c r="K18" s="13">
        <f>I18*J18</f>
        <v>100</v>
      </c>
      <c r="L18" s="19">
        <f t="shared" si="1"/>
        <v>1.5</v>
      </c>
      <c r="M18" s="19">
        <f t="shared" si="2"/>
        <v>2</v>
      </c>
      <c r="N18" s="13" cm="1">
        <f t="array" ref="N18">_xlfn.IFS(C18=2023,K18*$P$2,C18=2024,K18*$P$3)</f>
        <v>1.5</v>
      </c>
      <c r="O18" t="s">
        <v>45</v>
      </c>
      <c r="P18" s="13">
        <f>SUMIF(C:C,2023,N:N)</f>
        <v>6817.0500000000011</v>
      </c>
    </row>
    <row r="19" spans="1:19">
      <c r="A19" s="2">
        <v>18</v>
      </c>
      <c r="B19" s="3">
        <v>45046</v>
      </c>
      <c r="C19" s="4">
        <f t="shared" si="0"/>
        <v>2023</v>
      </c>
      <c r="D19" s="4" t="s">
        <v>46</v>
      </c>
      <c r="E19" s="4" t="s">
        <v>20</v>
      </c>
      <c r="F19" s="4">
        <v>47</v>
      </c>
      <c r="G19" s="4" t="str" cm="1">
        <f t="array" ref="G19">_xlfn.IFS(F19&lt;30,"Young Adult",F19&lt;50,"Adult",F19&gt;=50,"Senior")</f>
        <v>Adult</v>
      </c>
      <c r="H19" s="4" t="s">
        <v>24</v>
      </c>
      <c r="I19" s="4">
        <v>2</v>
      </c>
      <c r="J19" s="11">
        <v>25</v>
      </c>
      <c r="K19" s="13">
        <f>I19*J19</f>
        <v>50</v>
      </c>
      <c r="L19" s="19">
        <f t="shared" si="1"/>
        <v>0.75</v>
      </c>
      <c r="M19" s="19">
        <f t="shared" si="2"/>
        <v>1</v>
      </c>
      <c r="N19" s="13" cm="1">
        <f t="array" ref="N19">_xlfn.IFS(C19=2023,K19*$P$2,C19=2024,K19*$P$3)</f>
        <v>0.75</v>
      </c>
      <c r="O19" t="s">
        <v>47</v>
      </c>
      <c r="P19" s="13">
        <f>SUMIF(C:C,2024,N:N)</f>
        <v>30.6</v>
      </c>
    </row>
    <row r="20" spans="1:19">
      <c r="A20" s="2">
        <v>19</v>
      </c>
      <c r="B20" s="3">
        <v>45185</v>
      </c>
      <c r="C20" s="4">
        <f t="shared" si="0"/>
        <v>2023</v>
      </c>
      <c r="D20" s="4" t="s">
        <v>48</v>
      </c>
      <c r="E20" s="4" t="s">
        <v>20</v>
      </c>
      <c r="F20" s="4">
        <v>62</v>
      </c>
      <c r="G20" s="4" t="str" cm="1">
        <f t="array" ref="G20">_xlfn.IFS(F20&lt;30,"Young Adult",F20&lt;50,"Adult",F20&gt;=50,"Senior")</f>
        <v>Senior</v>
      </c>
      <c r="H20" s="4" t="s">
        <v>21</v>
      </c>
      <c r="I20" s="4">
        <v>2</v>
      </c>
      <c r="J20" s="11">
        <v>25</v>
      </c>
      <c r="K20" s="13">
        <f>I20*J20</f>
        <v>50</v>
      </c>
      <c r="L20" s="19">
        <f t="shared" si="1"/>
        <v>0.75</v>
      </c>
      <c r="M20" s="19">
        <f t="shared" si="2"/>
        <v>1</v>
      </c>
      <c r="N20" s="13" cm="1">
        <f t="array" ref="N20">_xlfn.IFS(C20=2023,K20*$P$2,C20=2024,K20*$P$3)</f>
        <v>0.75</v>
      </c>
    </row>
    <row r="21" spans="1:19">
      <c r="A21" s="2">
        <v>20</v>
      </c>
      <c r="B21" s="3">
        <v>45235</v>
      </c>
      <c r="C21" s="4">
        <f t="shared" si="0"/>
        <v>2023</v>
      </c>
      <c r="D21" s="4" t="s">
        <v>49</v>
      </c>
      <c r="E21" s="4" t="s">
        <v>16</v>
      </c>
      <c r="F21" s="4">
        <v>22</v>
      </c>
      <c r="G21" s="4" t="str" cm="1">
        <f t="array" ref="G21">_xlfn.IFS(F21&lt;30,"Young Adult",F21&lt;50,"Adult",F21&gt;=50,"Senior")</f>
        <v>Young Adult</v>
      </c>
      <c r="H21" s="4" t="s">
        <v>21</v>
      </c>
      <c r="I21" s="4">
        <v>3</v>
      </c>
      <c r="J21" s="11">
        <v>300</v>
      </c>
      <c r="K21" s="13">
        <f>I21*J21</f>
        <v>900</v>
      </c>
      <c r="L21" s="19">
        <f t="shared" si="1"/>
        <v>13.5</v>
      </c>
      <c r="M21" s="19">
        <f t="shared" si="2"/>
        <v>18</v>
      </c>
      <c r="N21" s="13" cm="1">
        <f t="array" ref="N21">_xlfn.IFS(C21=2023,K21*$P$2,C21=2024,K21*$P$3)</f>
        <v>13.5</v>
      </c>
    </row>
    <row r="22" spans="1:19">
      <c r="A22" s="2">
        <v>21</v>
      </c>
      <c r="B22" s="3">
        <v>44940</v>
      </c>
      <c r="C22" s="4">
        <f t="shared" si="0"/>
        <v>2023</v>
      </c>
      <c r="D22" s="4" t="s">
        <v>50</v>
      </c>
      <c r="E22" s="4" t="s">
        <v>20</v>
      </c>
      <c r="F22" s="4">
        <v>50</v>
      </c>
      <c r="G22" s="4" t="str" cm="1">
        <f t="array" ref="G22">_xlfn.IFS(F22&lt;30,"Young Adult",F22&lt;50,"Adult",F22&gt;=50,"Senior")</f>
        <v>Senior</v>
      </c>
      <c r="H22" s="4" t="s">
        <v>17</v>
      </c>
      <c r="I22" s="4">
        <v>1</v>
      </c>
      <c r="J22" s="11">
        <v>500</v>
      </c>
      <c r="K22" s="13">
        <f>I22*J22</f>
        <v>500</v>
      </c>
      <c r="L22" s="19">
        <f t="shared" si="1"/>
        <v>7.5</v>
      </c>
      <c r="M22" s="19">
        <f t="shared" si="2"/>
        <v>10</v>
      </c>
      <c r="N22" s="13" cm="1">
        <f t="array" ref="N22">_xlfn.IFS(C22=2023,K22*$P$2,C22=2024,K22*$P$3)</f>
        <v>7.5</v>
      </c>
    </row>
    <row r="23" spans="1:19">
      <c r="A23" s="2">
        <v>22</v>
      </c>
      <c r="B23" s="3">
        <v>45214</v>
      </c>
      <c r="C23" s="4">
        <f t="shared" si="0"/>
        <v>2023</v>
      </c>
      <c r="D23" s="4" t="s">
        <v>51</v>
      </c>
      <c r="E23" s="4" t="s">
        <v>16</v>
      </c>
      <c r="F23" s="4">
        <v>18</v>
      </c>
      <c r="G23" s="4" t="str" cm="1">
        <f t="array" ref="G23">_xlfn.IFS(F23&lt;30,"Young Adult",F23&lt;50,"Adult",F23&gt;=50,"Senior")</f>
        <v>Young Adult</v>
      </c>
      <c r="H23" s="4" t="s">
        <v>21</v>
      </c>
      <c r="I23" s="4">
        <v>2</v>
      </c>
      <c r="J23" s="11">
        <v>50</v>
      </c>
      <c r="K23" s="13">
        <f>I23*J23</f>
        <v>100</v>
      </c>
      <c r="L23" s="19">
        <f t="shared" si="1"/>
        <v>1.5</v>
      </c>
      <c r="M23" s="19">
        <f t="shared" si="2"/>
        <v>2</v>
      </c>
      <c r="N23" s="13" cm="1">
        <f t="array" ref="N23">_xlfn.IFS(C23=2023,K23*$P$2,C23=2024,K23*$P$3)</f>
        <v>1.5</v>
      </c>
      <c r="O23" t="s">
        <v>52</v>
      </c>
      <c r="P23" s="13">
        <f>SUMIF(E:E,"Female",K:K)</f>
        <v>232840</v>
      </c>
      <c r="R23" t="s">
        <v>53</v>
      </c>
      <c r="S23" s="13">
        <f>AVERAGEIF(E:E,"Female",K:K)</f>
        <v>456.54901960784315</v>
      </c>
    </row>
    <row r="24" spans="1:19">
      <c r="A24" s="2">
        <v>23</v>
      </c>
      <c r="B24" s="3">
        <v>45028</v>
      </c>
      <c r="C24" s="4">
        <f t="shared" si="0"/>
        <v>2023</v>
      </c>
      <c r="D24" s="4" t="s">
        <v>54</v>
      </c>
      <c r="E24" s="4" t="s">
        <v>20</v>
      </c>
      <c r="F24" s="4">
        <v>35</v>
      </c>
      <c r="G24" s="4" t="str" cm="1">
        <f t="array" ref="G24">_xlfn.IFS(F24&lt;30,"Young Adult",F24&lt;50,"Adult",F24&gt;=50,"Senior")</f>
        <v>Adult</v>
      </c>
      <c r="H24" s="4" t="s">
        <v>21</v>
      </c>
      <c r="I24" s="4">
        <v>4</v>
      </c>
      <c r="J24" s="11">
        <v>30</v>
      </c>
      <c r="K24" s="13">
        <f>I24*J24</f>
        <v>120</v>
      </c>
      <c r="L24" s="19">
        <f t="shared" si="1"/>
        <v>1.7999999999999998</v>
      </c>
      <c r="M24" s="19">
        <f t="shared" si="2"/>
        <v>2.4</v>
      </c>
      <c r="N24" s="13" cm="1">
        <f t="array" ref="N24">_xlfn.IFS(C24=2023,K24*$P$2,C24=2024,K24*$P$3)</f>
        <v>1.7999999999999998</v>
      </c>
      <c r="O24" t="s">
        <v>55</v>
      </c>
      <c r="P24" s="13">
        <f>SUMIF(E:E,"Male",K:K)</f>
        <v>223160</v>
      </c>
      <c r="R24" t="s">
        <v>56</v>
      </c>
      <c r="S24" s="13">
        <f>AVERAGEIF(E:E,"Male",K:K)</f>
        <v>455.42857142857144</v>
      </c>
    </row>
    <row r="25" spans="1:19">
      <c r="A25" s="2">
        <v>24</v>
      </c>
      <c r="B25" s="3">
        <v>45259</v>
      </c>
      <c r="C25" s="4">
        <f t="shared" si="0"/>
        <v>2023</v>
      </c>
      <c r="D25" s="4" t="s">
        <v>57</v>
      </c>
      <c r="E25" s="4" t="s">
        <v>20</v>
      </c>
      <c r="F25" s="4">
        <v>49</v>
      </c>
      <c r="G25" s="4" t="str" cm="1">
        <f t="array" ref="G25">_xlfn.IFS(F25&lt;30,"Young Adult",F25&lt;50,"Adult",F25&gt;=50,"Senior")</f>
        <v>Adult</v>
      </c>
      <c r="H25" s="4" t="s">
        <v>21</v>
      </c>
      <c r="I25" s="4">
        <v>1</v>
      </c>
      <c r="J25" s="11">
        <v>300</v>
      </c>
      <c r="K25" s="13">
        <f>I25*J25</f>
        <v>300</v>
      </c>
      <c r="L25" s="19">
        <f t="shared" si="1"/>
        <v>4.5</v>
      </c>
      <c r="M25" s="19">
        <f t="shared" si="2"/>
        <v>6</v>
      </c>
      <c r="N25" s="13" cm="1">
        <f t="array" ref="N25">_xlfn.IFS(C25=2023,K25*$P$2,C25=2024,K25*$P$3)</f>
        <v>4.5</v>
      </c>
    </row>
    <row r="26" spans="1:19">
      <c r="A26" s="2">
        <v>25</v>
      </c>
      <c r="B26" s="3">
        <v>45286</v>
      </c>
      <c r="C26" s="4">
        <f t="shared" si="0"/>
        <v>2023</v>
      </c>
      <c r="D26" s="4" t="s">
        <v>58</v>
      </c>
      <c r="E26" s="4" t="s">
        <v>20</v>
      </c>
      <c r="F26" s="4">
        <v>64</v>
      </c>
      <c r="G26" s="4" t="str" cm="1">
        <f t="array" ref="G26">_xlfn.IFS(F26&lt;30,"Young Adult",F26&lt;50,"Adult",F26&gt;=50,"Senior")</f>
        <v>Senior</v>
      </c>
      <c r="H26" s="4" t="s">
        <v>17</v>
      </c>
      <c r="I26" s="4">
        <v>1</v>
      </c>
      <c r="J26" s="11">
        <v>50</v>
      </c>
      <c r="K26" s="13">
        <f>I26*J26</f>
        <v>50</v>
      </c>
      <c r="L26" s="19">
        <f t="shared" si="1"/>
        <v>0.75</v>
      </c>
      <c r="M26" s="19">
        <f t="shared" si="2"/>
        <v>1</v>
      </c>
      <c r="N26" s="13" cm="1">
        <f t="array" ref="N26">_xlfn.IFS(C26=2023,K26*$P$2,C26=2024,K26*$P$3)</f>
        <v>0.75</v>
      </c>
    </row>
    <row r="27" spans="1:19">
      <c r="A27" s="2">
        <v>26</v>
      </c>
      <c r="B27" s="3">
        <v>45206</v>
      </c>
      <c r="C27" s="4">
        <f t="shared" si="0"/>
        <v>2023</v>
      </c>
      <c r="D27" s="4" t="s">
        <v>59</v>
      </c>
      <c r="E27" s="4" t="s">
        <v>20</v>
      </c>
      <c r="F27" s="4">
        <v>28</v>
      </c>
      <c r="G27" s="4" t="str" cm="1">
        <f t="array" ref="G27">_xlfn.IFS(F27&lt;30,"Young Adult",F27&lt;50,"Adult",F27&gt;=50,"Senior")</f>
        <v>Young Adult</v>
      </c>
      <c r="H27" s="4" t="s">
        <v>24</v>
      </c>
      <c r="I27" s="4">
        <v>2</v>
      </c>
      <c r="J27" s="11">
        <v>500</v>
      </c>
      <c r="K27" s="13">
        <f>I27*J27</f>
        <v>1000</v>
      </c>
      <c r="L27" s="19">
        <f t="shared" si="1"/>
        <v>15</v>
      </c>
      <c r="M27" s="19">
        <f t="shared" si="2"/>
        <v>20</v>
      </c>
      <c r="N27" s="13" cm="1">
        <f t="array" ref="N27">_xlfn.IFS(C27=2023,K27*$P$2,C27=2024,K27*$P$3)</f>
        <v>15</v>
      </c>
      <c r="O27" t="s">
        <v>60</v>
      </c>
      <c r="P27" s="13">
        <f>SUMIF(F:F,"&lt;30",K:K)</f>
        <v>123155</v>
      </c>
      <c r="R27" t="s">
        <v>61</v>
      </c>
      <c r="S27" s="13">
        <f>AVERAGEIF(F:F,"&lt;30",K:K)</f>
        <v>490.65737051792831</v>
      </c>
    </row>
    <row r="28" spans="1:19">
      <c r="A28" s="2">
        <v>27</v>
      </c>
      <c r="B28" s="3">
        <v>45141</v>
      </c>
      <c r="C28" s="4">
        <f t="shared" si="0"/>
        <v>2023</v>
      </c>
      <c r="D28" s="4" t="s">
        <v>62</v>
      </c>
      <c r="E28" s="4" t="s">
        <v>20</v>
      </c>
      <c r="F28" s="4">
        <v>38</v>
      </c>
      <c r="G28" s="4" t="str" cm="1">
        <f t="array" ref="G28">_xlfn.IFS(F28&lt;30,"Young Adult",F28&lt;50,"Adult",F28&gt;=50,"Senior")</f>
        <v>Adult</v>
      </c>
      <c r="H28" s="4" t="s">
        <v>17</v>
      </c>
      <c r="I28" s="4">
        <v>2</v>
      </c>
      <c r="J28" s="11">
        <v>25</v>
      </c>
      <c r="K28" s="13">
        <f>I28*J28</f>
        <v>50</v>
      </c>
      <c r="L28" s="19">
        <f t="shared" si="1"/>
        <v>0.75</v>
      </c>
      <c r="M28" s="19">
        <f t="shared" si="2"/>
        <v>1</v>
      </c>
      <c r="N28" s="13" cm="1">
        <f t="array" ref="N28">_xlfn.IFS(C28=2023,K28*$P$2,C28=2024,K28*$P$3)</f>
        <v>0.75</v>
      </c>
      <c r="O28" t="s">
        <v>63</v>
      </c>
      <c r="P28" s="13">
        <f>SUMIFS(K:K,F:F,"&gt;=30",F:F,"&lt;=39")</f>
        <v>96325</v>
      </c>
      <c r="R28" t="s">
        <v>64</v>
      </c>
      <c r="S28" s="13">
        <f>AVERAGEIFS(K:K,F:F,"&gt;=30",F:F,"&lt;=39")</f>
        <v>504.31937172774872</v>
      </c>
    </row>
    <row r="29" spans="1:19">
      <c r="A29" s="2">
        <v>28</v>
      </c>
      <c r="B29" s="3">
        <v>45039</v>
      </c>
      <c r="C29" s="4">
        <f t="shared" si="0"/>
        <v>2023</v>
      </c>
      <c r="D29" s="4" t="s">
        <v>65</v>
      </c>
      <c r="E29" s="4" t="s">
        <v>20</v>
      </c>
      <c r="F29" s="4">
        <v>43</v>
      </c>
      <c r="G29" s="4" t="str" cm="1">
        <f t="array" ref="G29">_xlfn.IFS(F29&lt;30,"Young Adult",F29&lt;50,"Adult",F29&gt;=50,"Senior")</f>
        <v>Adult</v>
      </c>
      <c r="H29" s="4" t="s">
        <v>17</v>
      </c>
      <c r="I29" s="4">
        <v>1</v>
      </c>
      <c r="J29" s="11">
        <v>500</v>
      </c>
      <c r="K29" s="13">
        <f>I29*J29</f>
        <v>500</v>
      </c>
      <c r="L29" s="19">
        <f t="shared" si="1"/>
        <v>7.5</v>
      </c>
      <c r="M29" s="19">
        <f t="shared" si="2"/>
        <v>10</v>
      </c>
      <c r="N29" s="13" cm="1">
        <f t="array" ref="N29">_xlfn.IFS(C29=2023,K29*$P$2,C29=2024,K29*$P$3)</f>
        <v>7.5</v>
      </c>
      <c r="O29" t="s">
        <v>66</v>
      </c>
      <c r="P29" s="13">
        <f>SUMIF(F:F,"&gt;=40",K:K)</f>
        <v>236520</v>
      </c>
      <c r="R29" t="s">
        <v>67</v>
      </c>
      <c r="S29" s="13">
        <f>AVERAGEIF(F:F,"&gt;=40",K:K)</f>
        <v>423.87096774193549</v>
      </c>
    </row>
    <row r="30" spans="1:19">
      <c r="A30" s="2">
        <v>29</v>
      </c>
      <c r="B30" s="3">
        <v>45156</v>
      </c>
      <c r="C30" s="4">
        <f t="shared" si="0"/>
        <v>2023</v>
      </c>
      <c r="D30" s="4" t="s">
        <v>68</v>
      </c>
      <c r="E30" s="4" t="s">
        <v>20</v>
      </c>
      <c r="F30" s="4">
        <v>42</v>
      </c>
      <c r="G30" s="4" t="str" cm="1">
        <f t="array" ref="G30">_xlfn.IFS(F30&lt;30,"Young Adult",F30&lt;50,"Adult",F30&gt;=50,"Senior")</f>
        <v>Adult</v>
      </c>
      <c r="H30" s="4" t="s">
        <v>24</v>
      </c>
      <c r="I30" s="4">
        <v>1</v>
      </c>
      <c r="J30" s="11">
        <v>30</v>
      </c>
      <c r="K30" s="13">
        <f>I30*J30</f>
        <v>30</v>
      </c>
      <c r="L30" s="19">
        <f t="shared" si="1"/>
        <v>0.44999999999999996</v>
      </c>
      <c r="M30" s="19">
        <f t="shared" si="2"/>
        <v>0.6</v>
      </c>
      <c r="N30" s="13" cm="1">
        <f t="array" ref="N30">_xlfn.IFS(C30=2023,K30*$P$2,C30=2024,K30*$P$3)</f>
        <v>0.44999999999999996</v>
      </c>
    </row>
    <row r="31" spans="1:19">
      <c r="A31" s="2">
        <v>30</v>
      </c>
      <c r="B31" s="3">
        <v>45228</v>
      </c>
      <c r="C31" s="4">
        <f t="shared" si="0"/>
        <v>2023</v>
      </c>
      <c r="D31" s="4" t="s">
        <v>69</v>
      </c>
      <c r="E31" s="4" t="s">
        <v>20</v>
      </c>
      <c r="F31" s="4">
        <v>39</v>
      </c>
      <c r="G31" s="4" t="str" cm="1">
        <f t="array" ref="G31">_xlfn.IFS(F31&lt;30,"Young Adult",F31&lt;50,"Adult",F31&gt;=50,"Senior")</f>
        <v>Adult</v>
      </c>
      <c r="H31" s="4" t="s">
        <v>17</v>
      </c>
      <c r="I31" s="4">
        <v>3</v>
      </c>
      <c r="J31" s="11">
        <v>300</v>
      </c>
      <c r="K31" s="13">
        <f>I31*J31</f>
        <v>900</v>
      </c>
      <c r="L31" s="19">
        <f t="shared" si="1"/>
        <v>13.5</v>
      </c>
      <c r="M31" s="19">
        <f t="shared" si="2"/>
        <v>18</v>
      </c>
      <c r="N31" s="13" cm="1">
        <f t="array" ref="N31">_xlfn.IFS(C31=2023,K31*$P$2,C31=2024,K31*$P$3)</f>
        <v>13.5</v>
      </c>
    </row>
    <row r="32" spans="1:19">
      <c r="A32" s="2">
        <v>31</v>
      </c>
      <c r="B32" s="3">
        <v>45069</v>
      </c>
      <c r="C32" s="4">
        <f t="shared" si="0"/>
        <v>2023</v>
      </c>
      <c r="D32" s="4" t="s">
        <v>70</v>
      </c>
      <c r="E32" s="4" t="s">
        <v>16</v>
      </c>
      <c r="F32" s="4">
        <v>44</v>
      </c>
      <c r="G32" s="4" t="str" cm="1">
        <f t="array" ref="G32">_xlfn.IFS(F32&lt;30,"Young Adult",F32&lt;50,"Adult",F32&gt;=50,"Senior")</f>
        <v>Adult</v>
      </c>
      <c r="H32" s="4" t="s">
        <v>24</v>
      </c>
      <c r="I32" s="4">
        <v>4</v>
      </c>
      <c r="J32" s="11">
        <v>300</v>
      </c>
      <c r="K32" s="13">
        <f>I32*J32</f>
        <v>1200</v>
      </c>
      <c r="L32" s="19">
        <f t="shared" si="1"/>
        <v>18</v>
      </c>
      <c r="M32" s="19">
        <f t="shared" si="2"/>
        <v>24</v>
      </c>
      <c r="N32" s="13" cm="1">
        <f t="array" ref="N32">_xlfn.IFS(C32=2023,K32*$P$2,C32=2024,K32*$P$3)</f>
        <v>18</v>
      </c>
      <c r="O32" t="s">
        <v>71</v>
      </c>
      <c r="P32" s="13">
        <f>SUMIF(H:H,"Beauty",K:K)</f>
        <v>143515</v>
      </c>
      <c r="R32" t="s">
        <v>72</v>
      </c>
      <c r="S32" s="13">
        <f>AVERAGEIF(H:H,"Beauty",K:K)</f>
        <v>467.47557003257327</v>
      </c>
    </row>
    <row r="33" spans="1:19">
      <c r="A33" s="2">
        <v>32</v>
      </c>
      <c r="B33" s="3">
        <v>44930</v>
      </c>
      <c r="C33" s="4">
        <f t="shared" si="0"/>
        <v>2023</v>
      </c>
      <c r="D33" s="4" t="s">
        <v>73</v>
      </c>
      <c r="E33" s="4" t="s">
        <v>16</v>
      </c>
      <c r="F33" s="4">
        <v>30</v>
      </c>
      <c r="G33" s="4" t="str" cm="1">
        <f t="array" ref="G33">_xlfn.IFS(F33&lt;30,"Young Adult",F33&lt;50,"Adult",F33&gt;=50,"Senior")</f>
        <v>Adult</v>
      </c>
      <c r="H33" s="4" t="s">
        <v>17</v>
      </c>
      <c r="I33" s="4">
        <v>3</v>
      </c>
      <c r="J33" s="11">
        <v>30</v>
      </c>
      <c r="K33" s="13">
        <f>I33*J33</f>
        <v>90</v>
      </c>
      <c r="L33" s="19">
        <f t="shared" si="1"/>
        <v>1.3499999999999999</v>
      </c>
      <c r="M33" s="19">
        <f t="shared" si="2"/>
        <v>1.8</v>
      </c>
      <c r="N33" s="13" cm="1">
        <f t="array" ref="N33">_xlfn.IFS(C33=2023,K33*$P$2,C33=2024,K33*$P$3)</f>
        <v>1.3499999999999999</v>
      </c>
      <c r="O33" t="s">
        <v>74</v>
      </c>
      <c r="P33" s="13">
        <f>SUMIF(H:H,"Clothing",K:K)</f>
        <v>155580</v>
      </c>
      <c r="R33" t="s">
        <v>75</v>
      </c>
      <c r="S33" s="13">
        <f>AVERAGEIF(H:H,"Clothing",K:K)</f>
        <v>443.24786324786322</v>
      </c>
    </row>
    <row r="34" spans="1:19">
      <c r="A34" s="2">
        <v>33</v>
      </c>
      <c r="B34" s="3">
        <v>45008</v>
      </c>
      <c r="C34" s="4">
        <f t="shared" si="0"/>
        <v>2023</v>
      </c>
      <c r="D34" s="4" t="s">
        <v>76</v>
      </c>
      <c r="E34" s="4" t="s">
        <v>20</v>
      </c>
      <c r="F34" s="4">
        <v>50</v>
      </c>
      <c r="G34" s="4" t="str" cm="1">
        <f t="array" ref="G34">_xlfn.IFS(F34&lt;30,"Young Adult",F34&lt;50,"Adult",F34&gt;=50,"Senior")</f>
        <v>Senior</v>
      </c>
      <c r="H34" s="4" t="s">
        <v>24</v>
      </c>
      <c r="I34" s="4">
        <v>2</v>
      </c>
      <c r="J34" s="11">
        <v>50</v>
      </c>
      <c r="K34" s="13">
        <f>I34*J34</f>
        <v>100</v>
      </c>
      <c r="L34" s="19">
        <f t="shared" si="1"/>
        <v>1.5</v>
      </c>
      <c r="M34" s="19">
        <f t="shared" si="2"/>
        <v>2</v>
      </c>
      <c r="N34" s="13" cm="1">
        <f t="array" ref="N34">_xlfn.IFS(C34=2023,K34*$P$2,C34=2024,K34*$P$3)</f>
        <v>1.5</v>
      </c>
      <c r="O34" t="s">
        <v>77</v>
      </c>
      <c r="P34" s="13">
        <f>SUMIF(H:H,"Electronics",K:K)</f>
        <v>156905</v>
      </c>
      <c r="R34" t="s">
        <v>78</v>
      </c>
      <c r="S34" s="13">
        <f>AVERAGEIF(H:H,"Electronics",K:K)</f>
        <v>458.78654970760232</v>
      </c>
    </row>
    <row r="35" spans="1:19">
      <c r="A35" s="2">
        <v>34</v>
      </c>
      <c r="B35" s="3">
        <v>45284</v>
      </c>
      <c r="C35" s="4">
        <f t="shared" si="0"/>
        <v>2023</v>
      </c>
      <c r="D35" s="4" t="s">
        <v>79</v>
      </c>
      <c r="E35" s="4" t="s">
        <v>20</v>
      </c>
      <c r="F35" s="4">
        <v>51</v>
      </c>
      <c r="G35" s="4" t="str" cm="1">
        <f t="array" ref="G35">_xlfn.IFS(F35&lt;30,"Young Adult",F35&lt;50,"Adult",F35&gt;=50,"Senior")</f>
        <v>Senior</v>
      </c>
      <c r="H35" s="4" t="s">
        <v>21</v>
      </c>
      <c r="I35" s="4">
        <v>3</v>
      </c>
      <c r="J35" s="11">
        <v>50</v>
      </c>
      <c r="K35" s="13">
        <f>I35*J35</f>
        <v>150</v>
      </c>
      <c r="L35" s="19">
        <f t="shared" si="1"/>
        <v>2.25</v>
      </c>
      <c r="M35" s="19">
        <f t="shared" si="2"/>
        <v>3</v>
      </c>
      <c r="N35" s="13" cm="1">
        <f t="array" ref="N35">_xlfn.IFS(C35=2023,K35*$P$2,C35=2024,K35*$P$3)</f>
        <v>2.25</v>
      </c>
    </row>
    <row r="36" spans="1:19">
      <c r="A36" s="2">
        <v>35</v>
      </c>
      <c r="B36" s="3">
        <v>45143</v>
      </c>
      <c r="C36" s="4">
        <f t="shared" si="0"/>
        <v>2023</v>
      </c>
      <c r="D36" s="4" t="s">
        <v>80</v>
      </c>
      <c r="E36" s="4" t="s">
        <v>20</v>
      </c>
      <c r="F36" s="4">
        <v>58</v>
      </c>
      <c r="G36" s="4" t="str" cm="1">
        <f t="array" ref="G36">_xlfn.IFS(F36&lt;30,"Young Adult",F36&lt;50,"Adult",F36&gt;=50,"Senior")</f>
        <v>Senior</v>
      </c>
      <c r="H36" s="4" t="s">
        <v>17</v>
      </c>
      <c r="I36" s="4">
        <v>3</v>
      </c>
      <c r="J36" s="11">
        <v>300</v>
      </c>
      <c r="K36" s="13">
        <f>I36*J36</f>
        <v>900</v>
      </c>
      <c r="L36" s="19">
        <f t="shared" si="1"/>
        <v>13.5</v>
      </c>
      <c r="M36" s="19">
        <f t="shared" si="2"/>
        <v>18</v>
      </c>
      <c r="N36" s="13" cm="1">
        <f t="array" ref="N36">_xlfn.IFS(C36=2023,K36*$P$2,C36=2024,K36*$P$3)</f>
        <v>13.5</v>
      </c>
      <c r="O36" t="s">
        <v>81</v>
      </c>
      <c r="R36" t="s">
        <v>82</v>
      </c>
    </row>
    <row r="37" spans="1:19">
      <c r="A37" s="2">
        <v>36</v>
      </c>
      <c r="B37" s="3">
        <v>45101</v>
      </c>
      <c r="C37" s="4">
        <f t="shared" si="0"/>
        <v>2023</v>
      </c>
      <c r="D37" s="4" t="s">
        <v>83</v>
      </c>
      <c r="E37" s="4" t="s">
        <v>16</v>
      </c>
      <c r="F37" s="4">
        <v>52</v>
      </c>
      <c r="G37" s="4" t="str" cm="1">
        <f t="array" ref="G37">_xlfn.IFS(F37&lt;30,"Young Adult",F37&lt;50,"Adult",F37&gt;=50,"Senior")</f>
        <v>Senior</v>
      </c>
      <c r="H37" s="4" t="s">
        <v>17</v>
      </c>
      <c r="I37" s="4">
        <v>3</v>
      </c>
      <c r="J37" s="11">
        <v>300</v>
      </c>
      <c r="K37" s="13">
        <f>I37*J37</f>
        <v>900</v>
      </c>
      <c r="L37" s="19">
        <f t="shared" si="1"/>
        <v>13.5</v>
      </c>
      <c r="M37" s="19">
        <f t="shared" si="2"/>
        <v>18</v>
      </c>
      <c r="N37" s="13" cm="1">
        <f t="array" ref="N37">_xlfn.IFS(C37=2023,K37*$P$2,C37=2024,K37*$P$3)</f>
        <v>13.5</v>
      </c>
      <c r="O37" t="s">
        <v>71</v>
      </c>
      <c r="P37" s="13">
        <f>SUMIFS(K:K,E:E,"Female",H:H,"Beauty")</f>
        <v>74830</v>
      </c>
      <c r="R37" t="s">
        <v>71</v>
      </c>
      <c r="S37" s="13">
        <f>SUMIFS(K:K,E:E,"Male",H:H,"Beauty")</f>
        <v>68685</v>
      </c>
    </row>
    <row r="38" spans="1:19">
      <c r="A38" s="2">
        <v>37</v>
      </c>
      <c r="B38" s="3">
        <v>45069</v>
      </c>
      <c r="C38" s="4">
        <f t="shared" si="0"/>
        <v>2023</v>
      </c>
      <c r="D38" s="4" t="s">
        <v>84</v>
      </c>
      <c r="E38" s="4" t="s">
        <v>20</v>
      </c>
      <c r="F38" s="4">
        <v>18</v>
      </c>
      <c r="G38" s="4" t="str" cm="1">
        <f t="array" ref="G38">_xlfn.IFS(F38&lt;30,"Young Adult",F38&lt;50,"Adult",F38&gt;=50,"Senior")</f>
        <v>Young Adult</v>
      </c>
      <c r="H38" s="4" t="s">
        <v>17</v>
      </c>
      <c r="I38" s="4">
        <v>3</v>
      </c>
      <c r="J38" s="11">
        <v>25</v>
      </c>
      <c r="K38" s="13">
        <f>I38*J38</f>
        <v>75</v>
      </c>
      <c r="L38" s="19">
        <f t="shared" si="1"/>
        <v>1.125</v>
      </c>
      <c r="M38" s="19">
        <f t="shared" si="2"/>
        <v>1.5</v>
      </c>
      <c r="N38" s="13" cm="1">
        <f t="array" ref="N38">_xlfn.IFS(C38=2023,K38*$P$2,C38=2024,K38*$P$3)</f>
        <v>1.125</v>
      </c>
      <c r="O38" t="s">
        <v>74</v>
      </c>
      <c r="P38" s="13">
        <f>SUMIFS(K:K,E:E,"Female",H:H,"Clothing")</f>
        <v>81275</v>
      </c>
      <c r="R38" t="s">
        <v>74</v>
      </c>
      <c r="S38" s="13">
        <f>SUMIFS(K:K,E:E,"Male",H:H,"Clothing")</f>
        <v>74305</v>
      </c>
    </row>
    <row r="39" spans="1:19">
      <c r="A39" s="2">
        <v>38</v>
      </c>
      <c r="B39" s="3">
        <v>45006</v>
      </c>
      <c r="C39" s="4">
        <f t="shared" si="0"/>
        <v>2023</v>
      </c>
      <c r="D39" s="4" t="s">
        <v>85</v>
      </c>
      <c r="E39" s="4" t="s">
        <v>16</v>
      </c>
      <c r="F39" s="4">
        <v>38</v>
      </c>
      <c r="G39" s="4" t="str" cm="1">
        <f t="array" ref="G39">_xlfn.IFS(F39&lt;30,"Young Adult",F39&lt;50,"Adult",F39&gt;=50,"Senior")</f>
        <v>Adult</v>
      </c>
      <c r="H39" s="4" t="s">
        <v>17</v>
      </c>
      <c r="I39" s="4">
        <v>4</v>
      </c>
      <c r="J39" s="11">
        <v>50</v>
      </c>
      <c r="K39" s="13">
        <f>I39*J39</f>
        <v>200</v>
      </c>
      <c r="L39" s="19">
        <f t="shared" si="1"/>
        <v>3</v>
      </c>
      <c r="M39" s="19">
        <f t="shared" si="2"/>
        <v>4</v>
      </c>
      <c r="N39" s="13" cm="1">
        <f t="array" ref="N39">_xlfn.IFS(C39=2023,K39*$P$2,C39=2024,K39*$P$3)</f>
        <v>3</v>
      </c>
      <c r="O39" t="s">
        <v>77</v>
      </c>
      <c r="P39" s="13">
        <f>SUMIFS(K:K,E:E,"Female",H:H,"Electronics")</f>
        <v>76735</v>
      </c>
      <c r="R39" t="s">
        <v>77</v>
      </c>
      <c r="S39" s="13">
        <f>SUMIFS(K:K,E:E,"Male",H:H,"Electronics")</f>
        <v>80170</v>
      </c>
    </row>
    <row r="40" spans="1:19">
      <c r="A40" s="2">
        <v>39</v>
      </c>
      <c r="B40" s="3">
        <v>45037</v>
      </c>
      <c r="C40" s="4">
        <f t="shared" si="0"/>
        <v>2023</v>
      </c>
      <c r="D40" s="4" t="s">
        <v>86</v>
      </c>
      <c r="E40" s="4" t="s">
        <v>16</v>
      </c>
      <c r="F40" s="4">
        <v>23</v>
      </c>
      <c r="G40" s="4" t="str" cm="1">
        <f t="array" ref="G40">_xlfn.IFS(F40&lt;30,"Young Adult",F40&lt;50,"Adult",F40&gt;=50,"Senior")</f>
        <v>Young Adult</v>
      </c>
      <c r="H40" s="4" t="s">
        <v>21</v>
      </c>
      <c r="I40" s="4">
        <v>4</v>
      </c>
      <c r="J40" s="11">
        <v>30</v>
      </c>
      <c r="K40" s="13">
        <f>I40*J40</f>
        <v>120</v>
      </c>
      <c r="L40" s="19">
        <f t="shared" si="1"/>
        <v>1.7999999999999998</v>
      </c>
      <c r="M40" s="19">
        <f t="shared" si="2"/>
        <v>2.4</v>
      </c>
      <c r="N40" s="13" cm="1">
        <f t="array" ref="N40">_xlfn.IFS(C40=2023,K40*$P$2,C40=2024,K40*$P$3)</f>
        <v>1.7999999999999998</v>
      </c>
    </row>
    <row r="41" spans="1:19">
      <c r="A41" s="2">
        <v>40</v>
      </c>
      <c r="B41" s="3">
        <v>45099</v>
      </c>
      <c r="C41" s="4">
        <f t="shared" si="0"/>
        <v>2023</v>
      </c>
      <c r="D41" s="4" t="s">
        <v>87</v>
      </c>
      <c r="E41" s="4" t="s">
        <v>16</v>
      </c>
      <c r="F41" s="4">
        <v>45</v>
      </c>
      <c r="G41" s="4" t="str" cm="1">
        <f t="array" ref="G41">_xlfn.IFS(F41&lt;30,"Young Adult",F41&lt;50,"Adult",F41&gt;=50,"Senior")</f>
        <v>Adult</v>
      </c>
      <c r="H41" s="4" t="s">
        <v>17</v>
      </c>
      <c r="I41" s="4">
        <v>1</v>
      </c>
      <c r="J41" s="11">
        <v>50</v>
      </c>
      <c r="K41" s="13">
        <f>I41*J41</f>
        <v>50</v>
      </c>
      <c r="L41" s="19">
        <f t="shared" si="1"/>
        <v>0.75</v>
      </c>
      <c r="M41" s="19">
        <f t="shared" si="2"/>
        <v>1</v>
      </c>
      <c r="N41" s="13" cm="1">
        <f t="array" ref="N41">_xlfn.IFS(C41=2023,K41*$P$2,C41=2024,K41*$P$3)</f>
        <v>0.75</v>
      </c>
    </row>
    <row r="42" spans="1:19">
      <c r="A42" s="2">
        <v>41</v>
      </c>
      <c r="B42" s="3">
        <v>44979</v>
      </c>
      <c r="C42" s="4">
        <f t="shared" si="0"/>
        <v>2023</v>
      </c>
      <c r="D42" s="4" t="s">
        <v>88</v>
      </c>
      <c r="E42" s="4" t="s">
        <v>16</v>
      </c>
      <c r="F42" s="4">
        <v>34</v>
      </c>
      <c r="G42" s="4" t="str" cm="1">
        <f t="array" ref="G42">_xlfn.IFS(F42&lt;30,"Young Adult",F42&lt;50,"Adult",F42&gt;=50,"Senior")</f>
        <v>Adult</v>
      </c>
      <c r="H42" s="4" t="s">
        <v>21</v>
      </c>
      <c r="I42" s="4">
        <v>2</v>
      </c>
      <c r="J42" s="11">
        <v>25</v>
      </c>
      <c r="K42" s="13">
        <f>I42*J42</f>
        <v>50</v>
      </c>
      <c r="L42" s="19">
        <f t="shared" si="1"/>
        <v>0.75</v>
      </c>
      <c r="M42" s="19">
        <f t="shared" si="2"/>
        <v>1</v>
      </c>
      <c r="N42" s="13" cm="1">
        <f t="array" ref="N42">_xlfn.IFS(C42=2023,K42*$P$2,C42=2024,K42*$P$3)</f>
        <v>0.75</v>
      </c>
    </row>
    <row r="43" spans="1:19">
      <c r="A43" s="2">
        <v>42</v>
      </c>
      <c r="B43" s="3">
        <v>44974</v>
      </c>
      <c r="C43" s="4">
        <f t="shared" si="0"/>
        <v>2023</v>
      </c>
      <c r="D43" s="4" t="s">
        <v>89</v>
      </c>
      <c r="E43" s="4" t="s">
        <v>16</v>
      </c>
      <c r="F43" s="4">
        <v>22</v>
      </c>
      <c r="G43" s="4" t="str" cm="1">
        <f t="array" ref="G43">_xlfn.IFS(F43&lt;30,"Young Adult",F43&lt;50,"Adult",F43&gt;=50,"Senior")</f>
        <v>Young Adult</v>
      </c>
      <c r="H43" s="4" t="s">
        <v>21</v>
      </c>
      <c r="I43" s="4">
        <v>3</v>
      </c>
      <c r="J43" s="11">
        <v>300</v>
      </c>
      <c r="K43" s="13">
        <f>I43*J43</f>
        <v>900</v>
      </c>
      <c r="L43" s="19">
        <f t="shared" si="1"/>
        <v>13.5</v>
      </c>
      <c r="M43" s="19">
        <f t="shared" si="2"/>
        <v>18</v>
      </c>
      <c r="N43" s="13" cm="1">
        <f t="array" ref="N43">_xlfn.IFS(C43=2023,K43*$P$2,C43=2024,K43*$P$3)</f>
        <v>13.5</v>
      </c>
    </row>
    <row r="44" spans="1:19">
      <c r="A44" s="2">
        <v>43</v>
      </c>
      <c r="B44" s="3">
        <v>45121</v>
      </c>
      <c r="C44" s="4">
        <f t="shared" si="0"/>
        <v>2023</v>
      </c>
      <c r="D44" s="4" t="s">
        <v>90</v>
      </c>
      <c r="E44" s="4" t="s">
        <v>20</v>
      </c>
      <c r="F44" s="4">
        <v>48</v>
      </c>
      <c r="G44" s="4" t="str" cm="1">
        <f t="array" ref="G44">_xlfn.IFS(F44&lt;30,"Young Adult",F44&lt;50,"Adult",F44&gt;=50,"Senior")</f>
        <v>Adult</v>
      </c>
      <c r="H44" s="4" t="s">
        <v>21</v>
      </c>
      <c r="I44" s="4">
        <v>1</v>
      </c>
      <c r="J44" s="11">
        <v>300</v>
      </c>
      <c r="K44" s="13">
        <f>I44*J44</f>
        <v>300</v>
      </c>
      <c r="L44" s="19">
        <f t="shared" si="1"/>
        <v>4.5</v>
      </c>
      <c r="M44" s="19">
        <f t="shared" si="2"/>
        <v>6</v>
      </c>
      <c r="N44" s="13" cm="1">
        <f t="array" ref="N44">_xlfn.IFS(C44=2023,K44*$P$2,C44=2024,K44*$P$3)</f>
        <v>4.5</v>
      </c>
    </row>
    <row r="45" spans="1:19">
      <c r="A45" s="2">
        <v>44</v>
      </c>
      <c r="B45" s="3">
        <v>44976</v>
      </c>
      <c r="C45" s="4">
        <f t="shared" si="0"/>
        <v>2023</v>
      </c>
      <c r="D45" s="4" t="s">
        <v>91</v>
      </c>
      <c r="E45" s="4" t="s">
        <v>20</v>
      </c>
      <c r="F45" s="4">
        <v>22</v>
      </c>
      <c r="G45" s="4" t="str" cm="1">
        <f t="array" ref="G45">_xlfn.IFS(F45&lt;30,"Young Adult",F45&lt;50,"Adult",F45&gt;=50,"Senior")</f>
        <v>Young Adult</v>
      </c>
      <c r="H45" s="4" t="s">
        <v>21</v>
      </c>
      <c r="I45" s="4">
        <v>1</v>
      </c>
      <c r="J45" s="11">
        <v>25</v>
      </c>
      <c r="K45" s="13">
        <f>I45*J45</f>
        <v>25</v>
      </c>
      <c r="L45" s="19">
        <f t="shared" si="1"/>
        <v>0.375</v>
      </c>
      <c r="M45" s="19">
        <f t="shared" si="2"/>
        <v>0.5</v>
      </c>
      <c r="N45" s="13" cm="1">
        <f t="array" ref="N45">_xlfn.IFS(C45=2023,K45*$P$2,C45=2024,K45*$P$3)</f>
        <v>0.375</v>
      </c>
    </row>
    <row r="46" spans="1:19">
      <c r="A46" s="2">
        <v>45</v>
      </c>
      <c r="B46" s="3">
        <v>45110</v>
      </c>
      <c r="C46" s="4">
        <f t="shared" si="0"/>
        <v>2023</v>
      </c>
      <c r="D46" s="4" t="s">
        <v>92</v>
      </c>
      <c r="E46" s="4" t="s">
        <v>20</v>
      </c>
      <c r="F46" s="4">
        <v>55</v>
      </c>
      <c r="G46" s="4" t="str" cm="1">
        <f t="array" ref="G46">_xlfn.IFS(F46&lt;30,"Young Adult",F46&lt;50,"Adult",F46&gt;=50,"Senior")</f>
        <v>Senior</v>
      </c>
      <c r="H46" s="4" t="s">
        <v>24</v>
      </c>
      <c r="I46" s="4">
        <v>1</v>
      </c>
      <c r="J46" s="11">
        <v>30</v>
      </c>
      <c r="K46" s="13">
        <f>I46*J46</f>
        <v>30</v>
      </c>
      <c r="L46" s="19">
        <f t="shared" si="1"/>
        <v>0.44999999999999996</v>
      </c>
      <c r="M46" s="19">
        <f t="shared" si="2"/>
        <v>0.6</v>
      </c>
      <c r="N46" s="13" cm="1">
        <f t="array" ref="N46">_xlfn.IFS(C46=2023,K46*$P$2,C46=2024,K46*$P$3)</f>
        <v>0.44999999999999996</v>
      </c>
    </row>
    <row r="47" spans="1:19">
      <c r="A47" s="2">
        <v>46</v>
      </c>
      <c r="B47" s="3">
        <v>45103</v>
      </c>
      <c r="C47" s="4">
        <f t="shared" si="0"/>
        <v>2023</v>
      </c>
      <c r="D47" s="4" t="s">
        <v>93</v>
      </c>
      <c r="E47" s="4" t="s">
        <v>20</v>
      </c>
      <c r="F47" s="4">
        <v>20</v>
      </c>
      <c r="G47" s="4" t="str" cm="1">
        <f t="array" ref="G47">_xlfn.IFS(F47&lt;30,"Young Adult",F47&lt;50,"Adult",F47&gt;=50,"Senior")</f>
        <v>Young Adult</v>
      </c>
      <c r="H47" s="4" t="s">
        <v>24</v>
      </c>
      <c r="I47" s="4">
        <v>4</v>
      </c>
      <c r="J47" s="11">
        <v>300</v>
      </c>
      <c r="K47" s="13">
        <f>I47*J47</f>
        <v>1200</v>
      </c>
      <c r="L47" s="19">
        <f t="shared" si="1"/>
        <v>18</v>
      </c>
      <c r="M47" s="19">
        <f t="shared" si="2"/>
        <v>24</v>
      </c>
      <c r="N47" s="13" cm="1">
        <f t="array" ref="N47">_xlfn.IFS(C47=2023,K47*$P$2,C47=2024,K47*$P$3)</f>
        <v>18</v>
      </c>
    </row>
    <row r="48" spans="1:19">
      <c r="A48" s="2">
        <v>47</v>
      </c>
      <c r="B48" s="3">
        <v>45236</v>
      </c>
      <c r="C48" s="4">
        <f t="shared" si="0"/>
        <v>2023</v>
      </c>
      <c r="D48" s="4" t="s">
        <v>94</v>
      </c>
      <c r="E48" s="4" t="s">
        <v>20</v>
      </c>
      <c r="F48" s="4">
        <v>40</v>
      </c>
      <c r="G48" s="4" t="str" cm="1">
        <f t="array" ref="G48">_xlfn.IFS(F48&lt;30,"Young Adult",F48&lt;50,"Adult",F48&gt;=50,"Senior")</f>
        <v>Adult</v>
      </c>
      <c r="H48" s="4" t="s">
        <v>17</v>
      </c>
      <c r="I48" s="4">
        <v>3</v>
      </c>
      <c r="J48" s="11">
        <v>500</v>
      </c>
      <c r="K48" s="13">
        <f>I48*J48</f>
        <v>1500</v>
      </c>
      <c r="L48" s="19">
        <f t="shared" si="1"/>
        <v>22.5</v>
      </c>
      <c r="M48" s="19">
        <f t="shared" si="2"/>
        <v>30</v>
      </c>
      <c r="N48" s="13" cm="1">
        <f t="array" ref="N48">_xlfn.IFS(C48=2023,K48*$P$2,C48=2024,K48*$P$3)</f>
        <v>22.5</v>
      </c>
    </row>
    <row r="49" spans="1:14">
      <c r="A49" s="2">
        <v>48</v>
      </c>
      <c r="B49" s="3">
        <v>45062</v>
      </c>
      <c r="C49" s="4">
        <f t="shared" si="0"/>
        <v>2023</v>
      </c>
      <c r="D49" s="4" t="s">
        <v>95</v>
      </c>
      <c r="E49" s="4" t="s">
        <v>16</v>
      </c>
      <c r="F49" s="4">
        <v>54</v>
      </c>
      <c r="G49" s="4" t="str" cm="1">
        <f t="array" ref="G49">_xlfn.IFS(F49&lt;30,"Young Adult",F49&lt;50,"Adult",F49&gt;=50,"Senior")</f>
        <v>Senior</v>
      </c>
      <c r="H49" s="4" t="s">
        <v>24</v>
      </c>
      <c r="I49" s="4">
        <v>3</v>
      </c>
      <c r="J49" s="11">
        <v>300</v>
      </c>
      <c r="K49" s="13">
        <f>I49*J49</f>
        <v>900</v>
      </c>
      <c r="L49" s="19">
        <f t="shared" si="1"/>
        <v>13.5</v>
      </c>
      <c r="M49" s="19">
        <f t="shared" si="2"/>
        <v>18</v>
      </c>
      <c r="N49" s="13" cm="1">
        <f t="array" ref="N49">_xlfn.IFS(C49=2023,K49*$P$2,C49=2024,K49*$P$3)</f>
        <v>13.5</v>
      </c>
    </row>
    <row r="50" spans="1:14">
      <c r="A50" s="2">
        <v>49</v>
      </c>
      <c r="B50" s="3">
        <v>44949</v>
      </c>
      <c r="C50" s="4">
        <f t="shared" si="0"/>
        <v>2023</v>
      </c>
      <c r="D50" s="4" t="s">
        <v>96</v>
      </c>
      <c r="E50" s="4" t="s">
        <v>20</v>
      </c>
      <c r="F50" s="4">
        <v>54</v>
      </c>
      <c r="G50" s="4" t="str" cm="1">
        <f t="array" ref="G50">_xlfn.IFS(F50&lt;30,"Young Adult",F50&lt;50,"Adult",F50&gt;=50,"Senior")</f>
        <v>Senior</v>
      </c>
      <c r="H50" s="4" t="s">
        <v>24</v>
      </c>
      <c r="I50" s="4">
        <v>2</v>
      </c>
      <c r="J50" s="11">
        <v>500</v>
      </c>
      <c r="K50" s="13">
        <f>I50*J50</f>
        <v>1000</v>
      </c>
      <c r="L50" s="19">
        <f t="shared" si="1"/>
        <v>15</v>
      </c>
      <c r="M50" s="19">
        <f t="shared" si="2"/>
        <v>20</v>
      </c>
      <c r="N50" s="13" cm="1">
        <f t="array" ref="N50">_xlfn.IFS(C50=2023,K50*$P$2,C50=2024,K50*$P$3)</f>
        <v>15</v>
      </c>
    </row>
    <row r="51" spans="1:14">
      <c r="A51" s="2">
        <v>50</v>
      </c>
      <c r="B51" s="3">
        <v>45162</v>
      </c>
      <c r="C51" s="4">
        <f t="shared" si="0"/>
        <v>2023</v>
      </c>
      <c r="D51" s="4" t="s">
        <v>97</v>
      </c>
      <c r="E51" s="4" t="s">
        <v>20</v>
      </c>
      <c r="F51" s="4">
        <v>27</v>
      </c>
      <c r="G51" s="4" t="str" cm="1">
        <f t="array" ref="G51">_xlfn.IFS(F51&lt;30,"Young Adult",F51&lt;50,"Adult",F51&gt;=50,"Senior")</f>
        <v>Young Adult</v>
      </c>
      <c r="H51" s="4" t="s">
        <v>17</v>
      </c>
      <c r="I51" s="4">
        <v>3</v>
      </c>
      <c r="J51" s="11">
        <v>25</v>
      </c>
      <c r="K51" s="13">
        <f>I51*J51</f>
        <v>75</v>
      </c>
      <c r="L51" s="19">
        <f t="shared" si="1"/>
        <v>1.125</v>
      </c>
      <c r="M51" s="19">
        <f t="shared" si="2"/>
        <v>1.5</v>
      </c>
      <c r="N51" s="13" cm="1">
        <f t="array" ref="N51">_xlfn.IFS(C51=2023,K51*$P$2,C51=2024,K51*$P$3)</f>
        <v>1.125</v>
      </c>
    </row>
    <row r="52" spans="1:14">
      <c r="A52" s="2">
        <v>51</v>
      </c>
      <c r="B52" s="3">
        <v>45201</v>
      </c>
      <c r="C52" s="4">
        <f t="shared" si="0"/>
        <v>2023</v>
      </c>
      <c r="D52" s="4" t="s">
        <v>98</v>
      </c>
      <c r="E52" s="4" t="s">
        <v>16</v>
      </c>
      <c r="F52" s="4">
        <v>27</v>
      </c>
      <c r="G52" s="4" t="str" cm="1">
        <f t="array" ref="G52">_xlfn.IFS(F52&lt;30,"Young Adult",F52&lt;50,"Adult",F52&gt;=50,"Senior")</f>
        <v>Young Adult</v>
      </c>
      <c r="H52" s="4" t="s">
        <v>17</v>
      </c>
      <c r="I52" s="4">
        <v>3</v>
      </c>
      <c r="J52" s="11">
        <v>25</v>
      </c>
      <c r="K52" s="13">
        <f>I52*J52</f>
        <v>75</v>
      </c>
      <c r="L52" s="19">
        <f t="shared" si="1"/>
        <v>1.125</v>
      </c>
      <c r="M52" s="19">
        <f t="shared" si="2"/>
        <v>1.5</v>
      </c>
      <c r="N52" s="13" cm="1">
        <f t="array" ref="N52">_xlfn.IFS(C52=2023,K52*$P$2,C52=2024,K52*$P$3)</f>
        <v>1.125</v>
      </c>
    </row>
    <row r="53" spans="1:14">
      <c r="A53" s="2">
        <v>52</v>
      </c>
      <c r="B53" s="3">
        <v>44990</v>
      </c>
      <c r="C53" s="4">
        <f t="shared" si="0"/>
        <v>2023</v>
      </c>
      <c r="D53" s="4" t="s">
        <v>99</v>
      </c>
      <c r="E53" s="4" t="s">
        <v>20</v>
      </c>
      <c r="F53" s="4">
        <v>36</v>
      </c>
      <c r="G53" s="4" t="str" cm="1">
        <f t="array" ref="G53">_xlfn.IFS(F53&lt;30,"Young Adult",F53&lt;50,"Adult",F53&gt;=50,"Senior")</f>
        <v>Adult</v>
      </c>
      <c r="H53" s="4" t="s">
        <v>17</v>
      </c>
      <c r="I53" s="4">
        <v>1</v>
      </c>
      <c r="J53" s="11">
        <v>300</v>
      </c>
      <c r="K53" s="13">
        <f>I53*J53</f>
        <v>300</v>
      </c>
      <c r="L53" s="19">
        <f t="shared" si="1"/>
        <v>4.5</v>
      </c>
      <c r="M53" s="19">
        <f t="shared" si="2"/>
        <v>6</v>
      </c>
      <c r="N53" s="13" cm="1">
        <f t="array" ref="N53">_xlfn.IFS(C53=2023,K53*$P$2,C53=2024,K53*$P$3)</f>
        <v>4.5</v>
      </c>
    </row>
    <row r="54" spans="1:14">
      <c r="A54" s="2">
        <v>53</v>
      </c>
      <c r="B54" s="3">
        <v>45120</v>
      </c>
      <c r="C54" s="4">
        <f t="shared" si="0"/>
        <v>2023</v>
      </c>
      <c r="D54" s="4" t="s">
        <v>100</v>
      </c>
      <c r="E54" s="4" t="s">
        <v>16</v>
      </c>
      <c r="F54" s="4">
        <v>34</v>
      </c>
      <c r="G54" s="4" t="str" cm="1">
        <f t="array" ref="G54">_xlfn.IFS(F54&lt;30,"Young Adult",F54&lt;50,"Adult",F54&gt;=50,"Senior")</f>
        <v>Adult</v>
      </c>
      <c r="H54" s="4" t="s">
        <v>24</v>
      </c>
      <c r="I54" s="4">
        <v>2</v>
      </c>
      <c r="J54" s="11">
        <v>50</v>
      </c>
      <c r="K54" s="13">
        <f>I54*J54</f>
        <v>100</v>
      </c>
      <c r="L54" s="19">
        <f t="shared" si="1"/>
        <v>1.5</v>
      </c>
      <c r="M54" s="19">
        <f t="shared" si="2"/>
        <v>2</v>
      </c>
      <c r="N54" s="13" cm="1">
        <f t="array" ref="N54">_xlfn.IFS(C54=2023,K54*$P$2,C54=2024,K54*$P$3)</f>
        <v>1.5</v>
      </c>
    </row>
    <row r="55" spans="1:14">
      <c r="A55" s="2">
        <v>54</v>
      </c>
      <c r="B55" s="3">
        <v>44967</v>
      </c>
      <c r="C55" s="4">
        <f t="shared" si="0"/>
        <v>2023</v>
      </c>
      <c r="D55" s="4" t="s">
        <v>101</v>
      </c>
      <c r="E55" s="4" t="s">
        <v>20</v>
      </c>
      <c r="F55" s="4">
        <v>38</v>
      </c>
      <c r="G55" s="4" t="str" cm="1">
        <f t="array" ref="G55">_xlfn.IFS(F55&lt;30,"Young Adult",F55&lt;50,"Adult",F55&gt;=50,"Senior")</f>
        <v>Adult</v>
      </c>
      <c r="H55" s="4" t="s">
        <v>24</v>
      </c>
      <c r="I55" s="4">
        <v>3</v>
      </c>
      <c r="J55" s="11">
        <v>500</v>
      </c>
      <c r="K55" s="13">
        <f>I55*J55</f>
        <v>1500</v>
      </c>
      <c r="L55" s="19">
        <f t="shared" si="1"/>
        <v>22.5</v>
      </c>
      <c r="M55" s="19">
        <f t="shared" si="2"/>
        <v>30</v>
      </c>
      <c r="N55" s="13" cm="1">
        <f t="array" ref="N55">_xlfn.IFS(C55=2023,K55*$P$2,C55=2024,K55*$P$3)</f>
        <v>22.5</v>
      </c>
    </row>
    <row r="56" spans="1:14">
      <c r="A56" s="2">
        <v>55</v>
      </c>
      <c r="B56" s="3">
        <v>45209</v>
      </c>
      <c r="C56" s="4">
        <f t="shared" si="0"/>
        <v>2023</v>
      </c>
      <c r="D56" s="4" t="s">
        <v>102</v>
      </c>
      <c r="E56" s="4" t="s">
        <v>16</v>
      </c>
      <c r="F56" s="4">
        <v>31</v>
      </c>
      <c r="G56" s="4" t="str" cm="1">
        <f t="array" ref="G56">_xlfn.IFS(F56&lt;30,"Young Adult",F56&lt;50,"Adult",F56&gt;=50,"Senior")</f>
        <v>Adult</v>
      </c>
      <c r="H56" s="4" t="s">
        <v>17</v>
      </c>
      <c r="I56" s="4">
        <v>4</v>
      </c>
      <c r="J56" s="11">
        <v>30</v>
      </c>
      <c r="K56" s="13">
        <f>I56*J56</f>
        <v>120</v>
      </c>
      <c r="L56" s="19">
        <f t="shared" si="1"/>
        <v>1.7999999999999998</v>
      </c>
      <c r="M56" s="19">
        <f t="shared" si="2"/>
        <v>2.4</v>
      </c>
      <c r="N56" s="13" cm="1">
        <f t="array" ref="N56">_xlfn.IFS(C56=2023,K56*$P$2,C56=2024,K56*$P$3)</f>
        <v>1.7999999999999998</v>
      </c>
    </row>
    <row r="57" spans="1:14">
      <c r="A57" s="2">
        <v>56</v>
      </c>
      <c r="B57" s="3">
        <v>45077</v>
      </c>
      <c r="C57" s="4">
        <f t="shared" si="0"/>
        <v>2023</v>
      </c>
      <c r="D57" s="4" t="s">
        <v>103</v>
      </c>
      <c r="E57" s="4" t="s">
        <v>20</v>
      </c>
      <c r="F57" s="4">
        <v>26</v>
      </c>
      <c r="G57" s="4" t="str" cm="1">
        <f t="array" ref="G57">_xlfn.IFS(F57&lt;30,"Young Adult",F57&lt;50,"Adult",F57&gt;=50,"Senior")</f>
        <v>Young Adult</v>
      </c>
      <c r="H57" s="4" t="s">
        <v>21</v>
      </c>
      <c r="I57" s="4">
        <v>3</v>
      </c>
      <c r="J57" s="11">
        <v>300</v>
      </c>
      <c r="K57" s="13">
        <f>I57*J57</f>
        <v>900</v>
      </c>
      <c r="L57" s="19">
        <f t="shared" si="1"/>
        <v>13.5</v>
      </c>
      <c r="M57" s="19">
        <f t="shared" si="2"/>
        <v>18</v>
      </c>
      <c r="N57" s="13" cm="1">
        <f t="array" ref="N57">_xlfn.IFS(C57=2023,K57*$P$2,C57=2024,K57*$P$3)</f>
        <v>13.5</v>
      </c>
    </row>
    <row r="58" spans="1:14">
      <c r="A58" s="2">
        <v>57</v>
      </c>
      <c r="B58" s="3">
        <v>45248</v>
      </c>
      <c r="C58" s="4">
        <f t="shared" si="0"/>
        <v>2023</v>
      </c>
      <c r="D58" s="4" t="s">
        <v>104</v>
      </c>
      <c r="E58" s="4" t="s">
        <v>20</v>
      </c>
      <c r="F58" s="4">
        <v>63</v>
      </c>
      <c r="G58" s="4" t="str" cm="1">
        <f t="array" ref="G58">_xlfn.IFS(F58&lt;30,"Young Adult",F58&lt;50,"Adult",F58&gt;=50,"Senior")</f>
        <v>Senior</v>
      </c>
      <c r="H58" s="4" t="s">
        <v>17</v>
      </c>
      <c r="I58" s="4">
        <v>1</v>
      </c>
      <c r="J58" s="11">
        <v>30</v>
      </c>
      <c r="K58" s="13">
        <f>I58*J58</f>
        <v>30</v>
      </c>
      <c r="L58" s="19">
        <f t="shared" si="1"/>
        <v>0.44999999999999996</v>
      </c>
      <c r="M58" s="19">
        <f t="shared" si="2"/>
        <v>0.6</v>
      </c>
      <c r="N58" s="13" cm="1">
        <f t="array" ref="N58">_xlfn.IFS(C58=2023,K58*$P$2,C58=2024,K58*$P$3)</f>
        <v>0.44999999999999996</v>
      </c>
    </row>
    <row r="59" spans="1:14">
      <c r="A59" s="2">
        <v>58</v>
      </c>
      <c r="B59" s="3">
        <v>45243</v>
      </c>
      <c r="C59" s="4">
        <f t="shared" si="0"/>
        <v>2023</v>
      </c>
      <c r="D59" s="4" t="s">
        <v>105</v>
      </c>
      <c r="E59" s="4" t="s">
        <v>16</v>
      </c>
      <c r="F59" s="4">
        <v>18</v>
      </c>
      <c r="G59" s="4" t="str" cm="1">
        <f t="array" ref="G59">_xlfn.IFS(F59&lt;30,"Young Adult",F59&lt;50,"Adult",F59&gt;=50,"Senior")</f>
        <v>Young Adult</v>
      </c>
      <c r="H59" s="4" t="s">
        <v>21</v>
      </c>
      <c r="I59" s="4">
        <v>4</v>
      </c>
      <c r="J59" s="11">
        <v>300</v>
      </c>
      <c r="K59" s="13">
        <f>I59*J59</f>
        <v>1200</v>
      </c>
      <c r="L59" s="19">
        <f t="shared" si="1"/>
        <v>18</v>
      </c>
      <c r="M59" s="19">
        <f t="shared" si="2"/>
        <v>24</v>
      </c>
      <c r="N59" s="13" cm="1">
        <f t="array" ref="N59">_xlfn.IFS(C59=2023,K59*$P$2,C59=2024,K59*$P$3)</f>
        <v>18</v>
      </c>
    </row>
    <row r="60" spans="1:14">
      <c r="A60" s="2">
        <v>59</v>
      </c>
      <c r="B60" s="3">
        <v>45112</v>
      </c>
      <c r="C60" s="4">
        <f t="shared" si="0"/>
        <v>2023</v>
      </c>
      <c r="D60" s="4" t="s">
        <v>106</v>
      </c>
      <c r="E60" s="4" t="s">
        <v>16</v>
      </c>
      <c r="F60" s="4">
        <v>62</v>
      </c>
      <c r="G60" s="4" t="str" cm="1">
        <f t="array" ref="G60">_xlfn.IFS(F60&lt;30,"Young Adult",F60&lt;50,"Adult",F60&gt;=50,"Senior")</f>
        <v>Senior</v>
      </c>
      <c r="H60" s="4" t="s">
        <v>21</v>
      </c>
      <c r="I60" s="4">
        <v>1</v>
      </c>
      <c r="J60" s="11">
        <v>50</v>
      </c>
      <c r="K60" s="13">
        <f>I60*J60</f>
        <v>50</v>
      </c>
      <c r="L60" s="19">
        <f t="shared" si="1"/>
        <v>0.75</v>
      </c>
      <c r="M60" s="19">
        <f t="shared" si="2"/>
        <v>1</v>
      </c>
      <c r="N60" s="13" cm="1">
        <f t="array" ref="N60">_xlfn.IFS(C60=2023,K60*$P$2,C60=2024,K60*$P$3)</f>
        <v>0.75</v>
      </c>
    </row>
    <row r="61" spans="1:14">
      <c r="A61" s="2">
        <v>60</v>
      </c>
      <c r="B61" s="3">
        <v>45222</v>
      </c>
      <c r="C61" s="4">
        <f t="shared" si="0"/>
        <v>2023</v>
      </c>
      <c r="D61" s="4" t="s">
        <v>107</v>
      </c>
      <c r="E61" s="4" t="s">
        <v>16</v>
      </c>
      <c r="F61" s="4">
        <v>30</v>
      </c>
      <c r="G61" s="4" t="str" cm="1">
        <f t="array" ref="G61">_xlfn.IFS(F61&lt;30,"Young Adult",F61&lt;50,"Adult",F61&gt;=50,"Senior")</f>
        <v>Adult</v>
      </c>
      <c r="H61" s="4" t="s">
        <v>17</v>
      </c>
      <c r="I61" s="4">
        <v>3</v>
      </c>
      <c r="J61" s="11">
        <v>50</v>
      </c>
      <c r="K61" s="13">
        <f>I61*J61</f>
        <v>150</v>
      </c>
      <c r="L61" s="19">
        <f t="shared" si="1"/>
        <v>2.25</v>
      </c>
      <c r="M61" s="19">
        <f t="shared" si="2"/>
        <v>3</v>
      </c>
      <c r="N61" s="13" cm="1">
        <f t="array" ref="N61">_xlfn.IFS(C61=2023,K61*$P$2,C61=2024,K61*$P$3)</f>
        <v>2.25</v>
      </c>
    </row>
    <row r="62" spans="1:14">
      <c r="A62" s="2">
        <v>61</v>
      </c>
      <c r="B62" s="3">
        <v>45025</v>
      </c>
      <c r="C62" s="4">
        <f t="shared" si="0"/>
        <v>2023</v>
      </c>
      <c r="D62" s="4" t="s">
        <v>108</v>
      </c>
      <c r="E62" s="4" t="s">
        <v>16</v>
      </c>
      <c r="F62" s="4">
        <v>21</v>
      </c>
      <c r="G62" s="4" t="str" cm="1">
        <f t="array" ref="G62">_xlfn.IFS(F62&lt;30,"Young Adult",F62&lt;50,"Adult",F62&gt;=50,"Senior")</f>
        <v>Young Adult</v>
      </c>
      <c r="H62" s="4" t="s">
        <v>17</v>
      </c>
      <c r="I62" s="4">
        <v>4</v>
      </c>
      <c r="J62" s="11">
        <v>50</v>
      </c>
      <c r="K62" s="13">
        <f>I62*J62</f>
        <v>200</v>
      </c>
      <c r="L62" s="19">
        <f t="shared" si="1"/>
        <v>3</v>
      </c>
      <c r="M62" s="19">
        <f t="shared" si="2"/>
        <v>4</v>
      </c>
      <c r="N62" s="13" cm="1">
        <f t="array" ref="N62">_xlfn.IFS(C62=2023,K62*$P$2,C62=2024,K62*$P$3)</f>
        <v>3</v>
      </c>
    </row>
    <row r="63" spans="1:14">
      <c r="A63" s="2">
        <v>62</v>
      </c>
      <c r="B63" s="3">
        <v>45287</v>
      </c>
      <c r="C63" s="4">
        <f t="shared" si="0"/>
        <v>2023</v>
      </c>
      <c r="D63" s="4" t="s">
        <v>109</v>
      </c>
      <c r="E63" s="4" t="s">
        <v>16</v>
      </c>
      <c r="F63" s="4">
        <v>18</v>
      </c>
      <c r="G63" s="4" t="str" cm="1">
        <f t="array" ref="G63">_xlfn.IFS(F63&lt;30,"Young Adult",F63&lt;50,"Adult",F63&gt;=50,"Senior")</f>
        <v>Young Adult</v>
      </c>
      <c r="H63" s="4" t="s">
        <v>17</v>
      </c>
      <c r="I63" s="4">
        <v>2</v>
      </c>
      <c r="J63" s="11">
        <v>50</v>
      </c>
      <c r="K63" s="13">
        <f>I63*J63</f>
        <v>100</v>
      </c>
      <c r="L63" s="19">
        <f t="shared" si="1"/>
        <v>1.5</v>
      </c>
      <c r="M63" s="19">
        <f t="shared" si="2"/>
        <v>2</v>
      </c>
      <c r="N63" s="13" cm="1">
        <f t="array" ref="N63">_xlfn.IFS(C63=2023,K63*$P$2,C63=2024,K63*$P$3)</f>
        <v>1.5</v>
      </c>
    </row>
    <row r="64" spans="1:14">
      <c r="A64" s="2">
        <v>63</v>
      </c>
      <c r="B64" s="3">
        <v>44962</v>
      </c>
      <c r="C64" s="4">
        <f t="shared" si="0"/>
        <v>2023</v>
      </c>
      <c r="D64" s="4" t="s">
        <v>110</v>
      </c>
      <c r="E64" s="4" t="s">
        <v>16</v>
      </c>
      <c r="F64" s="4">
        <v>57</v>
      </c>
      <c r="G64" s="4" t="str" cm="1">
        <f t="array" ref="G64">_xlfn.IFS(F64&lt;30,"Young Adult",F64&lt;50,"Adult",F64&gt;=50,"Senior")</f>
        <v>Senior</v>
      </c>
      <c r="H64" s="4" t="s">
        <v>24</v>
      </c>
      <c r="I64" s="4">
        <v>2</v>
      </c>
      <c r="J64" s="11">
        <v>25</v>
      </c>
      <c r="K64" s="13">
        <f>I64*J64</f>
        <v>50</v>
      </c>
      <c r="L64" s="19">
        <f t="shared" si="1"/>
        <v>0.75</v>
      </c>
      <c r="M64" s="19">
        <f t="shared" si="2"/>
        <v>1</v>
      </c>
      <c r="N64" s="13" cm="1">
        <f t="array" ref="N64">_xlfn.IFS(C64=2023,K64*$P$2,C64=2024,K64*$P$3)</f>
        <v>0.75</v>
      </c>
    </row>
    <row r="65" spans="1:14">
      <c r="A65" s="2">
        <v>64</v>
      </c>
      <c r="B65" s="3">
        <v>44950</v>
      </c>
      <c r="C65" s="4">
        <f t="shared" si="0"/>
        <v>2023</v>
      </c>
      <c r="D65" s="4" t="s">
        <v>111</v>
      </c>
      <c r="E65" s="4" t="s">
        <v>16</v>
      </c>
      <c r="F65" s="4">
        <v>49</v>
      </c>
      <c r="G65" s="4" t="str" cm="1">
        <f t="array" ref="G65">_xlfn.IFS(F65&lt;30,"Young Adult",F65&lt;50,"Adult",F65&gt;=50,"Senior")</f>
        <v>Adult</v>
      </c>
      <c r="H65" s="4" t="s">
        <v>21</v>
      </c>
      <c r="I65" s="4">
        <v>4</v>
      </c>
      <c r="J65" s="11">
        <v>25</v>
      </c>
      <c r="K65" s="13">
        <f>I65*J65</f>
        <v>100</v>
      </c>
      <c r="L65" s="19">
        <f t="shared" si="1"/>
        <v>1.5</v>
      </c>
      <c r="M65" s="19">
        <f t="shared" si="2"/>
        <v>2</v>
      </c>
      <c r="N65" s="13" cm="1">
        <f t="array" ref="N65">_xlfn.IFS(C65=2023,K65*$P$2,C65=2024,K65*$P$3)</f>
        <v>1.5</v>
      </c>
    </row>
    <row r="66" spans="1:14">
      <c r="A66" s="2">
        <v>65</v>
      </c>
      <c r="B66" s="3">
        <v>45265</v>
      </c>
      <c r="C66" s="4">
        <f t="shared" si="0"/>
        <v>2023</v>
      </c>
      <c r="D66" s="4" t="s">
        <v>112</v>
      </c>
      <c r="E66" s="4" t="s">
        <v>16</v>
      </c>
      <c r="F66" s="4">
        <v>51</v>
      </c>
      <c r="G66" s="4" t="str" cm="1">
        <f t="array" ref="G66">_xlfn.IFS(F66&lt;30,"Young Adult",F66&lt;50,"Adult",F66&gt;=50,"Senior")</f>
        <v>Senior</v>
      </c>
      <c r="H66" s="4" t="s">
        <v>24</v>
      </c>
      <c r="I66" s="4">
        <v>4</v>
      </c>
      <c r="J66" s="11">
        <v>500</v>
      </c>
      <c r="K66" s="13">
        <f>I66*J66</f>
        <v>2000</v>
      </c>
      <c r="L66" s="19">
        <f t="shared" si="1"/>
        <v>30</v>
      </c>
      <c r="M66" s="19">
        <f t="shared" si="2"/>
        <v>40</v>
      </c>
      <c r="N66" s="13" cm="1">
        <f t="array" ref="N66">_xlfn.IFS(C66=2023,K66*$P$2,C66=2024,K66*$P$3)</f>
        <v>30</v>
      </c>
    </row>
    <row r="67" spans="1:14">
      <c r="A67" s="2">
        <v>66</v>
      </c>
      <c r="B67" s="3">
        <v>45043</v>
      </c>
      <c r="C67" s="4">
        <f t="shared" ref="C67:C130" si="3">YEAR(B67)</f>
        <v>2023</v>
      </c>
      <c r="D67" s="4" t="s">
        <v>113</v>
      </c>
      <c r="E67" s="4" t="s">
        <v>20</v>
      </c>
      <c r="F67" s="4">
        <v>45</v>
      </c>
      <c r="G67" s="4" t="str" cm="1">
        <f t="array" ref="G67">_xlfn.IFS(F67&lt;30,"Young Adult",F67&lt;50,"Adult",F67&gt;=50,"Senior")</f>
        <v>Adult</v>
      </c>
      <c r="H67" s="4" t="s">
        <v>24</v>
      </c>
      <c r="I67" s="4">
        <v>1</v>
      </c>
      <c r="J67" s="11">
        <v>30</v>
      </c>
      <c r="K67" s="13">
        <f>I67*J67</f>
        <v>30</v>
      </c>
      <c r="L67" s="19">
        <f t="shared" ref="L67:L130" si="4">K67*$P$2</f>
        <v>0.44999999999999996</v>
      </c>
      <c r="M67" s="19">
        <f t="shared" ref="M67:M130" si="5">K67*$P$3</f>
        <v>0.6</v>
      </c>
      <c r="N67" s="13" cm="1">
        <f t="array" ref="N67">_xlfn.IFS(C67=2023,K67*$P$2,C67=2024,K67*$P$3)</f>
        <v>0.44999999999999996</v>
      </c>
    </row>
    <row r="68" spans="1:14">
      <c r="A68" s="2">
        <v>67</v>
      </c>
      <c r="B68" s="3">
        <v>45075</v>
      </c>
      <c r="C68" s="4">
        <f t="shared" si="3"/>
        <v>2023</v>
      </c>
      <c r="D68" s="4" t="s">
        <v>114</v>
      </c>
      <c r="E68" s="4" t="s">
        <v>20</v>
      </c>
      <c r="F68" s="4">
        <v>48</v>
      </c>
      <c r="G68" s="4" t="str" cm="1">
        <f t="array" ref="G68">_xlfn.IFS(F68&lt;30,"Young Adult",F68&lt;50,"Adult",F68&gt;=50,"Senior")</f>
        <v>Adult</v>
      </c>
      <c r="H68" s="4" t="s">
        <v>17</v>
      </c>
      <c r="I68" s="4">
        <v>4</v>
      </c>
      <c r="J68" s="11">
        <v>300</v>
      </c>
      <c r="K68" s="13">
        <f>I68*J68</f>
        <v>1200</v>
      </c>
      <c r="L68" s="19">
        <f t="shared" si="4"/>
        <v>18</v>
      </c>
      <c r="M68" s="19">
        <f t="shared" si="5"/>
        <v>24</v>
      </c>
      <c r="N68" s="13" cm="1">
        <f t="array" ref="N68">_xlfn.IFS(C68=2023,K68*$P$2,C68=2024,K68*$P$3)</f>
        <v>18</v>
      </c>
    </row>
    <row r="69" spans="1:14">
      <c r="A69" s="2">
        <v>68</v>
      </c>
      <c r="B69" s="3">
        <v>44967</v>
      </c>
      <c r="C69" s="4">
        <f t="shared" si="3"/>
        <v>2023</v>
      </c>
      <c r="D69" s="4" t="s">
        <v>115</v>
      </c>
      <c r="E69" s="4" t="s">
        <v>16</v>
      </c>
      <c r="F69" s="4">
        <v>25</v>
      </c>
      <c r="G69" s="4" t="str" cm="1">
        <f t="array" ref="G69">_xlfn.IFS(F69&lt;30,"Young Adult",F69&lt;50,"Adult",F69&gt;=50,"Senior")</f>
        <v>Young Adult</v>
      </c>
      <c r="H69" s="4" t="s">
        <v>24</v>
      </c>
      <c r="I69" s="4">
        <v>1</v>
      </c>
      <c r="J69" s="11">
        <v>300</v>
      </c>
      <c r="K69" s="13">
        <f>I69*J69</f>
        <v>300</v>
      </c>
      <c r="L69" s="19">
        <f t="shared" si="4"/>
        <v>4.5</v>
      </c>
      <c r="M69" s="19">
        <f t="shared" si="5"/>
        <v>6</v>
      </c>
      <c r="N69" s="13" cm="1">
        <f t="array" ref="N69">_xlfn.IFS(C69=2023,K69*$P$2,C69=2024,K69*$P$3)</f>
        <v>4.5</v>
      </c>
    </row>
    <row r="70" spans="1:14">
      <c r="A70" s="2">
        <v>69</v>
      </c>
      <c r="B70" s="3">
        <v>45046</v>
      </c>
      <c r="C70" s="4">
        <f t="shared" si="3"/>
        <v>2023</v>
      </c>
      <c r="D70" s="4" t="s">
        <v>116</v>
      </c>
      <c r="E70" s="4" t="s">
        <v>20</v>
      </c>
      <c r="F70" s="4">
        <v>56</v>
      </c>
      <c r="G70" s="4" t="str" cm="1">
        <f t="array" ref="G70">_xlfn.IFS(F70&lt;30,"Young Adult",F70&lt;50,"Adult",F70&gt;=50,"Senior")</f>
        <v>Senior</v>
      </c>
      <c r="H70" s="4" t="s">
        <v>17</v>
      </c>
      <c r="I70" s="4">
        <v>3</v>
      </c>
      <c r="J70" s="11">
        <v>25</v>
      </c>
      <c r="K70" s="13">
        <f>I70*J70</f>
        <v>75</v>
      </c>
      <c r="L70" s="19">
        <f t="shared" si="4"/>
        <v>1.125</v>
      </c>
      <c r="M70" s="19">
        <f t="shared" si="5"/>
        <v>1.5</v>
      </c>
      <c r="N70" s="13" cm="1">
        <f t="array" ref="N70">_xlfn.IFS(C70=2023,K70*$P$2,C70=2024,K70*$P$3)</f>
        <v>1.125</v>
      </c>
    </row>
    <row r="71" spans="1:14">
      <c r="A71" s="2">
        <v>70</v>
      </c>
      <c r="B71" s="3">
        <v>44978</v>
      </c>
      <c r="C71" s="4">
        <f t="shared" si="3"/>
        <v>2023</v>
      </c>
      <c r="D71" s="4" t="s">
        <v>117</v>
      </c>
      <c r="E71" s="4" t="s">
        <v>20</v>
      </c>
      <c r="F71" s="4">
        <v>43</v>
      </c>
      <c r="G71" s="4" t="str" cm="1">
        <f t="array" ref="G71">_xlfn.IFS(F71&lt;30,"Young Adult",F71&lt;50,"Adult",F71&gt;=50,"Senior")</f>
        <v>Adult</v>
      </c>
      <c r="H71" s="4" t="s">
        <v>21</v>
      </c>
      <c r="I71" s="4">
        <v>1</v>
      </c>
      <c r="J71" s="11">
        <v>300</v>
      </c>
      <c r="K71" s="13">
        <f>I71*J71</f>
        <v>300</v>
      </c>
      <c r="L71" s="19">
        <f t="shared" si="4"/>
        <v>4.5</v>
      </c>
      <c r="M71" s="19">
        <f t="shared" si="5"/>
        <v>6</v>
      </c>
      <c r="N71" s="13" cm="1">
        <f t="array" ref="N71">_xlfn.IFS(C71=2023,K71*$P$2,C71=2024,K71*$P$3)</f>
        <v>4.5</v>
      </c>
    </row>
    <row r="72" spans="1:14">
      <c r="A72" s="2">
        <v>71</v>
      </c>
      <c r="B72" s="3">
        <v>45121</v>
      </c>
      <c r="C72" s="4">
        <f t="shared" si="3"/>
        <v>2023</v>
      </c>
      <c r="D72" s="4" t="s">
        <v>118</v>
      </c>
      <c r="E72" s="4" t="s">
        <v>20</v>
      </c>
      <c r="F72" s="4">
        <v>51</v>
      </c>
      <c r="G72" s="4" t="str" cm="1">
        <f t="array" ref="G72">_xlfn.IFS(F72&lt;30,"Young Adult",F72&lt;50,"Adult",F72&gt;=50,"Senior")</f>
        <v>Senior</v>
      </c>
      <c r="H72" s="4" t="s">
        <v>17</v>
      </c>
      <c r="I72" s="4">
        <v>4</v>
      </c>
      <c r="J72" s="11">
        <v>25</v>
      </c>
      <c r="K72" s="13">
        <f>I72*J72</f>
        <v>100</v>
      </c>
      <c r="L72" s="19">
        <f t="shared" si="4"/>
        <v>1.5</v>
      </c>
      <c r="M72" s="19">
        <f t="shared" si="5"/>
        <v>2</v>
      </c>
      <c r="N72" s="13" cm="1">
        <f t="array" ref="N72">_xlfn.IFS(C72=2023,K72*$P$2,C72=2024,K72*$P$3)</f>
        <v>1.5</v>
      </c>
    </row>
    <row r="73" spans="1:14">
      <c r="A73" s="2">
        <v>72</v>
      </c>
      <c r="B73" s="3">
        <v>45069</v>
      </c>
      <c r="C73" s="4">
        <f t="shared" si="3"/>
        <v>2023</v>
      </c>
      <c r="D73" s="4" t="s">
        <v>119</v>
      </c>
      <c r="E73" s="4" t="s">
        <v>20</v>
      </c>
      <c r="F73" s="4">
        <v>20</v>
      </c>
      <c r="G73" s="4" t="str" cm="1">
        <f t="array" ref="G73">_xlfn.IFS(F73&lt;30,"Young Adult",F73&lt;50,"Adult",F73&gt;=50,"Senior")</f>
        <v>Young Adult</v>
      </c>
      <c r="H73" s="4" t="s">
        <v>24</v>
      </c>
      <c r="I73" s="4">
        <v>4</v>
      </c>
      <c r="J73" s="11">
        <v>500</v>
      </c>
      <c r="K73" s="13">
        <f>I73*J73</f>
        <v>2000</v>
      </c>
      <c r="L73" s="19">
        <f t="shared" si="4"/>
        <v>30</v>
      </c>
      <c r="M73" s="19">
        <f t="shared" si="5"/>
        <v>40</v>
      </c>
      <c r="N73" s="13" cm="1">
        <f t="array" ref="N73">_xlfn.IFS(C73=2023,K73*$P$2,C73=2024,K73*$P$3)</f>
        <v>30</v>
      </c>
    </row>
    <row r="74" spans="1:14">
      <c r="A74" s="2">
        <v>73</v>
      </c>
      <c r="B74" s="3">
        <v>45159</v>
      </c>
      <c r="C74" s="4">
        <f t="shared" si="3"/>
        <v>2023</v>
      </c>
      <c r="D74" s="4" t="s">
        <v>120</v>
      </c>
      <c r="E74" s="4" t="s">
        <v>16</v>
      </c>
      <c r="F74" s="4">
        <v>29</v>
      </c>
      <c r="G74" s="4" t="str" cm="1">
        <f t="array" ref="G74">_xlfn.IFS(F74&lt;30,"Young Adult",F74&lt;50,"Adult",F74&gt;=50,"Senior")</f>
        <v>Young Adult</v>
      </c>
      <c r="H74" s="4" t="s">
        <v>24</v>
      </c>
      <c r="I74" s="4">
        <v>3</v>
      </c>
      <c r="J74" s="11">
        <v>30</v>
      </c>
      <c r="K74" s="13">
        <f>I74*J74</f>
        <v>90</v>
      </c>
      <c r="L74" s="19">
        <f t="shared" si="4"/>
        <v>1.3499999999999999</v>
      </c>
      <c r="M74" s="19">
        <f t="shared" si="5"/>
        <v>1.8</v>
      </c>
      <c r="N74" s="13" cm="1">
        <f t="array" ref="N74">_xlfn.IFS(C74=2023,K74*$P$2,C74=2024,K74*$P$3)</f>
        <v>1.3499999999999999</v>
      </c>
    </row>
    <row r="75" spans="1:14">
      <c r="A75" s="2">
        <v>74</v>
      </c>
      <c r="B75" s="3">
        <v>45252</v>
      </c>
      <c r="C75" s="4">
        <f t="shared" si="3"/>
        <v>2023</v>
      </c>
      <c r="D75" s="4" t="s">
        <v>121</v>
      </c>
      <c r="E75" s="4" t="s">
        <v>20</v>
      </c>
      <c r="F75" s="4">
        <v>18</v>
      </c>
      <c r="G75" s="4" t="str" cm="1">
        <f t="array" ref="G75">_xlfn.IFS(F75&lt;30,"Young Adult",F75&lt;50,"Adult",F75&gt;=50,"Senior")</f>
        <v>Young Adult</v>
      </c>
      <c r="H75" s="4" t="s">
        <v>17</v>
      </c>
      <c r="I75" s="4">
        <v>4</v>
      </c>
      <c r="J75" s="11">
        <v>500</v>
      </c>
      <c r="K75" s="13">
        <f>I75*J75</f>
        <v>2000</v>
      </c>
      <c r="L75" s="19">
        <f t="shared" si="4"/>
        <v>30</v>
      </c>
      <c r="M75" s="19">
        <f t="shared" si="5"/>
        <v>40</v>
      </c>
      <c r="N75" s="13" cm="1">
        <f t="array" ref="N75">_xlfn.IFS(C75=2023,K75*$P$2,C75=2024,K75*$P$3)</f>
        <v>30</v>
      </c>
    </row>
    <row r="76" spans="1:14">
      <c r="A76" s="2">
        <v>75</v>
      </c>
      <c r="B76" s="3">
        <v>45113</v>
      </c>
      <c r="C76" s="4">
        <f t="shared" si="3"/>
        <v>2023</v>
      </c>
      <c r="D76" s="4" t="s">
        <v>122</v>
      </c>
      <c r="E76" s="4" t="s">
        <v>16</v>
      </c>
      <c r="F76" s="4">
        <v>61</v>
      </c>
      <c r="G76" s="4" t="str" cm="1">
        <f t="array" ref="G76">_xlfn.IFS(F76&lt;30,"Young Adult",F76&lt;50,"Adult",F76&gt;=50,"Senior")</f>
        <v>Senior</v>
      </c>
      <c r="H76" s="4" t="s">
        <v>17</v>
      </c>
      <c r="I76" s="4">
        <v>4</v>
      </c>
      <c r="J76" s="11">
        <v>50</v>
      </c>
      <c r="K76" s="13">
        <f>I76*J76</f>
        <v>200</v>
      </c>
      <c r="L76" s="19">
        <f t="shared" si="4"/>
        <v>3</v>
      </c>
      <c r="M76" s="19">
        <f t="shared" si="5"/>
        <v>4</v>
      </c>
      <c r="N76" s="13" cm="1">
        <f t="array" ref="N76">_xlfn.IFS(C76=2023,K76*$P$2,C76=2024,K76*$P$3)</f>
        <v>3</v>
      </c>
    </row>
    <row r="77" spans="1:14">
      <c r="A77" s="2">
        <v>76</v>
      </c>
      <c r="B77" s="3">
        <v>45010</v>
      </c>
      <c r="C77" s="4">
        <f t="shared" si="3"/>
        <v>2023</v>
      </c>
      <c r="D77" s="4" t="s">
        <v>123</v>
      </c>
      <c r="E77" s="4" t="s">
        <v>20</v>
      </c>
      <c r="F77" s="4">
        <v>22</v>
      </c>
      <c r="G77" s="4" t="str" cm="1">
        <f t="array" ref="G77">_xlfn.IFS(F77&lt;30,"Young Adult",F77&lt;50,"Adult",F77&gt;=50,"Senior")</f>
        <v>Young Adult</v>
      </c>
      <c r="H77" s="4" t="s">
        <v>24</v>
      </c>
      <c r="I77" s="4">
        <v>2</v>
      </c>
      <c r="J77" s="11">
        <v>50</v>
      </c>
      <c r="K77" s="13">
        <f>I77*J77</f>
        <v>100</v>
      </c>
      <c r="L77" s="19">
        <f t="shared" si="4"/>
        <v>1.5</v>
      </c>
      <c r="M77" s="19">
        <f t="shared" si="5"/>
        <v>2</v>
      </c>
      <c r="N77" s="13" cm="1">
        <f t="array" ref="N77">_xlfn.IFS(C77=2023,K77*$P$2,C77=2024,K77*$P$3)</f>
        <v>1.5</v>
      </c>
    </row>
    <row r="78" spans="1:14">
      <c r="A78" s="2">
        <v>77</v>
      </c>
      <c r="B78" s="3">
        <v>45116</v>
      </c>
      <c r="C78" s="4">
        <f t="shared" si="3"/>
        <v>2023</v>
      </c>
      <c r="D78" s="4" t="s">
        <v>124</v>
      </c>
      <c r="E78" s="4" t="s">
        <v>20</v>
      </c>
      <c r="F78" s="4">
        <v>47</v>
      </c>
      <c r="G78" s="4" t="str" cm="1">
        <f t="array" ref="G78">_xlfn.IFS(F78&lt;30,"Young Adult",F78&lt;50,"Adult",F78&gt;=50,"Senior")</f>
        <v>Adult</v>
      </c>
      <c r="H78" s="4" t="s">
        <v>21</v>
      </c>
      <c r="I78" s="4">
        <v>2</v>
      </c>
      <c r="J78" s="11">
        <v>50</v>
      </c>
      <c r="K78" s="13">
        <f>I78*J78</f>
        <v>100</v>
      </c>
      <c r="L78" s="19">
        <f t="shared" si="4"/>
        <v>1.5</v>
      </c>
      <c r="M78" s="19">
        <f t="shared" si="5"/>
        <v>2</v>
      </c>
      <c r="N78" s="13" cm="1">
        <f t="array" ref="N78">_xlfn.IFS(C78=2023,K78*$P$2,C78=2024,K78*$P$3)</f>
        <v>1.5</v>
      </c>
    </row>
    <row r="79" spans="1:14">
      <c r="A79" s="2">
        <v>78</v>
      </c>
      <c r="B79" s="3">
        <v>45108</v>
      </c>
      <c r="C79" s="4">
        <f t="shared" si="3"/>
        <v>2023</v>
      </c>
      <c r="D79" s="4" t="s">
        <v>125</v>
      </c>
      <c r="E79" s="4" t="s">
        <v>20</v>
      </c>
      <c r="F79" s="4">
        <v>47</v>
      </c>
      <c r="G79" s="4" t="str" cm="1">
        <f t="array" ref="G79">_xlfn.IFS(F79&lt;30,"Young Adult",F79&lt;50,"Adult",F79&gt;=50,"Senior")</f>
        <v>Adult</v>
      </c>
      <c r="H79" s="4" t="s">
        <v>21</v>
      </c>
      <c r="I79" s="4">
        <v>3</v>
      </c>
      <c r="J79" s="11">
        <v>500</v>
      </c>
      <c r="K79" s="13">
        <f>I79*J79</f>
        <v>1500</v>
      </c>
      <c r="L79" s="19">
        <f t="shared" si="4"/>
        <v>22.5</v>
      </c>
      <c r="M79" s="19">
        <f t="shared" si="5"/>
        <v>30</v>
      </c>
      <c r="N79" s="13" cm="1">
        <f t="array" ref="N79">_xlfn.IFS(C79=2023,K79*$P$2,C79=2024,K79*$P$3)</f>
        <v>22.5</v>
      </c>
    </row>
    <row r="80" spans="1:14">
      <c r="A80" s="2">
        <v>79</v>
      </c>
      <c r="B80" s="3">
        <v>45034</v>
      </c>
      <c r="C80" s="4">
        <f t="shared" si="3"/>
        <v>2023</v>
      </c>
      <c r="D80" s="4" t="s">
        <v>126</v>
      </c>
      <c r="E80" s="4" t="s">
        <v>16</v>
      </c>
      <c r="F80" s="4">
        <v>34</v>
      </c>
      <c r="G80" s="4" t="str" cm="1">
        <f t="array" ref="G80">_xlfn.IFS(F80&lt;30,"Young Adult",F80&lt;50,"Adult",F80&gt;=50,"Senior")</f>
        <v>Adult</v>
      </c>
      <c r="H80" s="4" t="s">
        <v>17</v>
      </c>
      <c r="I80" s="4">
        <v>1</v>
      </c>
      <c r="J80" s="11">
        <v>300</v>
      </c>
      <c r="K80" s="13">
        <f>I80*J80</f>
        <v>300</v>
      </c>
      <c r="L80" s="19">
        <f t="shared" si="4"/>
        <v>4.5</v>
      </c>
      <c r="M80" s="19">
        <f t="shared" si="5"/>
        <v>6</v>
      </c>
      <c r="N80" s="13" cm="1">
        <f t="array" ref="N80">_xlfn.IFS(C80=2023,K80*$P$2,C80=2024,K80*$P$3)</f>
        <v>4.5</v>
      </c>
    </row>
    <row r="81" spans="1:14">
      <c r="A81" s="2">
        <v>80</v>
      </c>
      <c r="B81" s="3">
        <v>45270</v>
      </c>
      <c r="C81" s="4">
        <f t="shared" si="3"/>
        <v>2023</v>
      </c>
      <c r="D81" s="4" t="s">
        <v>127</v>
      </c>
      <c r="E81" s="4" t="s">
        <v>20</v>
      </c>
      <c r="F81" s="4">
        <v>64</v>
      </c>
      <c r="G81" s="4" t="str" cm="1">
        <f t="array" ref="G81">_xlfn.IFS(F81&lt;30,"Young Adult",F81&lt;50,"Adult",F81&gt;=50,"Senior")</f>
        <v>Senior</v>
      </c>
      <c r="H81" s="4" t="s">
        <v>21</v>
      </c>
      <c r="I81" s="4">
        <v>2</v>
      </c>
      <c r="J81" s="11">
        <v>30</v>
      </c>
      <c r="K81" s="13">
        <f>I81*J81</f>
        <v>60</v>
      </c>
      <c r="L81" s="19">
        <f t="shared" si="4"/>
        <v>0.89999999999999991</v>
      </c>
      <c r="M81" s="19">
        <f t="shared" si="5"/>
        <v>1.2</v>
      </c>
      <c r="N81" s="13" cm="1">
        <f t="array" ref="N81">_xlfn.IFS(C81=2023,K81*$P$2,C81=2024,K81*$P$3)</f>
        <v>0.89999999999999991</v>
      </c>
    </row>
    <row r="82" spans="1:14">
      <c r="A82" s="2">
        <v>81</v>
      </c>
      <c r="B82" s="3">
        <v>45063</v>
      </c>
      <c r="C82" s="4">
        <f t="shared" si="3"/>
        <v>2023</v>
      </c>
      <c r="D82" s="4" t="s">
        <v>128</v>
      </c>
      <c r="E82" s="4" t="s">
        <v>16</v>
      </c>
      <c r="F82" s="4">
        <v>40</v>
      </c>
      <c r="G82" s="4" t="str" cm="1">
        <f t="array" ref="G82">_xlfn.IFS(F82&lt;30,"Young Adult",F82&lt;50,"Adult",F82&gt;=50,"Senior")</f>
        <v>Adult</v>
      </c>
      <c r="H82" s="4" t="s">
        <v>24</v>
      </c>
      <c r="I82" s="4">
        <v>1</v>
      </c>
      <c r="J82" s="11">
        <v>50</v>
      </c>
      <c r="K82" s="13">
        <f>I82*J82</f>
        <v>50</v>
      </c>
      <c r="L82" s="19">
        <f t="shared" si="4"/>
        <v>0.75</v>
      </c>
      <c r="M82" s="19">
        <f t="shared" si="5"/>
        <v>1</v>
      </c>
      <c r="N82" s="13" cm="1">
        <f t="array" ref="N82">_xlfn.IFS(C82=2023,K82*$P$2,C82=2024,K82*$P$3)</f>
        <v>0.75</v>
      </c>
    </row>
    <row r="83" spans="1:14">
      <c r="A83" s="2">
        <v>82</v>
      </c>
      <c r="B83" s="3">
        <v>45286</v>
      </c>
      <c r="C83" s="4">
        <f t="shared" si="3"/>
        <v>2023</v>
      </c>
      <c r="D83" s="4" t="s">
        <v>129</v>
      </c>
      <c r="E83" s="4" t="s">
        <v>20</v>
      </c>
      <c r="F83" s="4">
        <v>32</v>
      </c>
      <c r="G83" s="4" t="str" cm="1">
        <f t="array" ref="G83">_xlfn.IFS(F83&lt;30,"Young Adult",F83&lt;50,"Adult",F83&gt;=50,"Senior")</f>
        <v>Adult</v>
      </c>
      <c r="H83" s="4" t="s">
        <v>17</v>
      </c>
      <c r="I83" s="4">
        <v>4</v>
      </c>
      <c r="J83" s="11">
        <v>50</v>
      </c>
      <c r="K83" s="13">
        <f>I83*J83</f>
        <v>200</v>
      </c>
      <c r="L83" s="19">
        <f t="shared" si="4"/>
        <v>3</v>
      </c>
      <c r="M83" s="19">
        <f t="shared" si="5"/>
        <v>4</v>
      </c>
      <c r="N83" s="13" cm="1">
        <f t="array" ref="N83">_xlfn.IFS(C83=2023,K83*$P$2,C83=2024,K83*$P$3)</f>
        <v>3</v>
      </c>
    </row>
    <row r="84" spans="1:14">
      <c r="A84" s="2">
        <v>83</v>
      </c>
      <c r="B84" s="3">
        <v>45276</v>
      </c>
      <c r="C84" s="4">
        <f t="shared" si="3"/>
        <v>2023</v>
      </c>
      <c r="D84" s="4" t="s">
        <v>130</v>
      </c>
      <c r="E84" s="4" t="s">
        <v>16</v>
      </c>
      <c r="F84" s="4">
        <v>54</v>
      </c>
      <c r="G84" s="4" t="str" cm="1">
        <f t="array" ref="G84">_xlfn.IFS(F84&lt;30,"Young Adult",F84&lt;50,"Adult",F84&gt;=50,"Senior")</f>
        <v>Senior</v>
      </c>
      <c r="H84" s="4" t="s">
        <v>24</v>
      </c>
      <c r="I84" s="4">
        <v>2</v>
      </c>
      <c r="J84" s="11">
        <v>50</v>
      </c>
      <c r="K84" s="13">
        <f>I84*J84</f>
        <v>100</v>
      </c>
      <c r="L84" s="19">
        <f t="shared" si="4"/>
        <v>1.5</v>
      </c>
      <c r="M84" s="19">
        <f t="shared" si="5"/>
        <v>2</v>
      </c>
      <c r="N84" s="13" cm="1">
        <f t="array" ref="N84">_xlfn.IFS(C84=2023,K84*$P$2,C84=2024,K84*$P$3)</f>
        <v>1.5</v>
      </c>
    </row>
    <row r="85" spans="1:14">
      <c r="A85" s="2">
        <v>84</v>
      </c>
      <c r="B85" s="3">
        <v>45258</v>
      </c>
      <c r="C85" s="4">
        <f t="shared" si="3"/>
        <v>2023</v>
      </c>
      <c r="D85" s="4" t="s">
        <v>131</v>
      </c>
      <c r="E85" s="4" t="s">
        <v>20</v>
      </c>
      <c r="F85" s="4">
        <v>38</v>
      </c>
      <c r="G85" s="4" t="str" cm="1">
        <f t="array" ref="G85">_xlfn.IFS(F85&lt;30,"Young Adult",F85&lt;50,"Adult",F85&gt;=50,"Senior")</f>
        <v>Adult</v>
      </c>
      <c r="H85" s="4" t="s">
        <v>24</v>
      </c>
      <c r="I85" s="4">
        <v>3</v>
      </c>
      <c r="J85" s="11">
        <v>30</v>
      </c>
      <c r="K85" s="13">
        <f>I85*J85</f>
        <v>90</v>
      </c>
      <c r="L85" s="19">
        <f t="shared" si="4"/>
        <v>1.3499999999999999</v>
      </c>
      <c r="M85" s="19">
        <f t="shared" si="5"/>
        <v>1.8</v>
      </c>
      <c r="N85" s="13" cm="1">
        <f t="array" ref="N85">_xlfn.IFS(C85=2023,K85*$P$2,C85=2024,K85*$P$3)</f>
        <v>1.3499999999999999</v>
      </c>
    </row>
    <row r="86" spans="1:14">
      <c r="A86" s="2">
        <v>85</v>
      </c>
      <c r="B86" s="3">
        <v>44963</v>
      </c>
      <c r="C86" s="4">
        <f t="shared" si="3"/>
        <v>2023</v>
      </c>
      <c r="D86" s="4" t="s">
        <v>132</v>
      </c>
      <c r="E86" s="4" t="s">
        <v>16</v>
      </c>
      <c r="F86" s="4">
        <v>31</v>
      </c>
      <c r="G86" s="4" t="str" cm="1">
        <f t="array" ref="G86">_xlfn.IFS(F86&lt;30,"Young Adult",F86&lt;50,"Adult",F86&gt;=50,"Senior")</f>
        <v>Adult</v>
      </c>
      <c r="H86" s="4" t="s">
        <v>21</v>
      </c>
      <c r="I86" s="4">
        <v>3</v>
      </c>
      <c r="J86" s="11">
        <v>50</v>
      </c>
      <c r="K86" s="13">
        <f>I86*J86</f>
        <v>150</v>
      </c>
      <c r="L86" s="19">
        <f t="shared" si="4"/>
        <v>2.25</v>
      </c>
      <c r="M86" s="19">
        <f t="shared" si="5"/>
        <v>3</v>
      </c>
      <c r="N86" s="13" cm="1">
        <f t="array" ref="N86">_xlfn.IFS(C86=2023,K86*$P$2,C86=2024,K86*$P$3)</f>
        <v>2.25</v>
      </c>
    </row>
    <row r="87" spans="1:14">
      <c r="A87" s="2">
        <v>86</v>
      </c>
      <c r="B87" s="3">
        <v>45238</v>
      </c>
      <c r="C87" s="4">
        <f t="shared" si="3"/>
        <v>2023</v>
      </c>
      <c r="D87" s="4" t="s">
        <v>133</v>
      </c>
      <c r="E87" s="4" t="s">
        <v>16</v>
      </c>
      <c r="F87" s="4">
        <v>19</v>
      </c>
      <c r="G87" s="4" t="str" cm="1">
        <f t="array" ref="G87">_xlfn.IFS(F87&lt;30,"Young Adult",F87&lt;50,"Adult",F87&gt;=50,"Senior")</f>
        <v>Young Adult</v>
      </c>
      <c r="H87" s="4" t="s">
        <v>17</v>
      </c>
      <c r="I87" s="4">
        <v>3</v>
      </c>
      <c r="J87" s="11">
        <v>30</v>
      </c>
      <c r="K87" s="13">
        <f>I87*J87</f>
        <v>90</v>
      </c>
      <c r="L87" s="19">
        <f t="shared" si="4"/>
        <v>1.3499999999999999</v>
      </c>
      <c r="M87" s="19">
        <f t="shared" si="5"/>
        <v>1.8</v>
      </c>
      <c r="N87" s="13" cm="1">
        <f t="array" ref="N87">_xlfn.IFS(C87=2023,K87*$P$2,C87=2024,K87*$P$3)</f>
        <v>1.3499999999999999</v>
      </c>
    </row>
    <row r="88" spans="1:14">
      <c r="A88" s="2">
        <v>87</v>
      </c>
      <c r="B88" s="3">
        <v>45252</v>
      </c>
      <c r="C88" s="4">
        <f t="shared" si="3"/>
        <v>2023</v>
      </c>
      <c r="D88" s="4" t="s">
        <v>134</v>
      </c>
      <c r="E88" s="4" t="s">
        <v>20</v>
      </c>
      <c r="F88" s="4">
        <v>28</v>
      </c>
      <c r="G88" s="4" t="str" cm="1">
        <f t="array" ref="G88">_xlfn.IFS(F88&lt;30,"Young Adult",F88&lt;50,"Adult",F88&gt;=50,"Senior")</f>
        <v>Young Adult</v>
      </c>
      <c r="H88" s="4" t="s">
        <v>17</v>
      </c>
      <c r="I88" s="4">
        <v>2</v>
      </c>
      <c r="J88" s="11">
        <v>50</v>
      </c>
      <c r="K88" s="13">
        <f>I88*J88</f>
        <v>100</v>
      </c>
      <c r="L88" s="19">
        <f t="shared" si="4"/>
        <v>1.5</v>
      </c>
      <c r="M88" s="19">
        <f t="shared" si="5"/>
        <v>2</v>
      </c>
      <c r="N88" s="13" cm="1">
        <f t="array" ref="N88">_xlfn.IFS(C88=2023,K88*$P$2,C88=2024,K88*$P$3)</f>
        <v>1.5</v>
      </c>
    </row>
    <row r="89" spans="1:14">
      <c r="A89" s="2">
        <v>88</v>
      </c>
      <c r="B89" s="3">
        <v>45014</v>
      </c>
      <c r="C89" s="4">
        <f t="shared" si="3"/>
        <v>2023</v>
      </c>
      <c r="D89" s="4" t="s">
        <v>135</v>
      </c>
      <c r="E89" s="4" t="s">
        <v>16</v>
      </c>
      <c r="F89" s="4">
        <v>56</v>
      </c>
      <c r="G89" s="4" t="str" cm="1">
        <f t="array" ref="G89">_xlfn.IFS(F89&lt;30,"Young Adult",F89&lt;50,"Adult",F89&gt;=50,"Senior")</f>
        <v>Senior</v>
      </c>
      <c r="H89" s="4" t="s">
        <v>21</v>
      </c>
      <c r="I89" s="4">
        <v>1</v>
      </c>
      <c r="J89" s="11">
        <v>500</v>
      </c>
      <c r="K89" s="13">
        <f>I89*J89</f>
        <v>500</v>
      </c>
      <c r="L89" s="19">
        <f t="shared" si="4"/>
        <v>7.5</v>
      </c>
      <c r="M89" s="19">
        <f t="shared" si="5"/>
        <v>10</v>
      </c>
      <c r="N89" s="13" cm="1">
        <f t="array" ref="N89">_xlfn.IFS(C89=2023,K89*$P$2,C89=2024,K89*$P$3)</f>
        <v>7.5</v>
      </c>
    </row>
    <row r="90" spans="1:14">
      <c r="A90" s="2">
        <v>89</v>
      </c>
      <c r="B90" s="3">
        <v>45200</v>
      </c>
      <c r="C90" s="4">
        <f t="shared" si="3"/>
        <v>2023</v>
      </c>
      <c r="D90" s="4" t="s">
        <v>136</v>
      </c>
      <c r="E90" s="4" t="s">
        <v>20</v>
      </c>
      <c r="F90" s="4">
        <v>55</v>
      </c>
      <c r="G90" s="4" t="str" cm="1">
        <f t="array" ref="G90">_xlfn.IFS(F90&lt;30,"Young Adult",F90&lt;50,"Adult",F90&gt;=50,"Senior")</f>
        <v>Senior</v>
      </c>
      <c r="H90" s="4" t="s">
        <v>24</v>
      </c>
      <c r="I90" s="4">
        <v>4</v>
      </c>
      <c r="J90" s="11">
        <v>500</v>
      </c>
      <c r="K90" s="13">
        <f>I90*J90</f>
        <v>2000</v>
      </c>
      <c r="L90" s="19">
        <f t="shared" si="4"/>
        <v>30</v>
      </c>
      <c r="M90" s="19">
        <f t="shared" si="5"/>
        <v>40</v>
      </c>
      <c r="N90" s="13" cm="1">
        <f t="array" ref="N90">_xlfn.IFS(C90=2023,K90*$P$2,C90=2024,K90*$P$3)</f>
        <v>30</v>
      </c>
    </row>
    <row r="91" spans="1:14">
      <c r="A91" s="2">
        <v>90</v>
      </c>
      <c r="B91" s="3">
        <v>45052</v>
      </c>
      <c r="C91" s="4">
        <f t="shared" si="3"/>
        <v>2023</v>
      </c>
      <c r="D91" s="4" t="s">
        <v>137</v>
      </c>
      <c r="E91" s="4" t="s">
        <v>20</v>
      </c>
      <c r="F91" s="4">
        <v>51</v>
      </c>
      <c r="G91" s="4" t="str" cm="1">
        <f t="array" ref="G91">_xlfn.IFS(F91&lt;30,"Young Adult",F91&lt;50,"Adult",F91&gt;=50,"Senior")</f>
        <v>Senior</v>
      </c>
      <c r="H91" s="4" t="s">
        <v>24</v>
      </c>
      <c r="I91" s="4">
        <v>1</v>
      </c>
      <c r="J91" s="11">
        <v>30</v>
      </c>
      <c r="K91" s="13">
        <f>I91*J91</f>
        <v>30</v>
      </c>
      <c r="L91" s="19">
        <f t="shared" si="4"/>
        <v>0.44999999999999996</v>
      </c>
      <c r="M91" s="19">
        <f t="shared" si="5"/>
        <v>0.6</v>
      </c>
      <c r="N91" s="13" cm="1">
        <f t="array" ref="N91">_xlfn.IFS(C91=2023,K91*$P$2,C91=2024,K91*$P$3)</f>
        <v>0.44999999999999996</v>
      </c>
    </row>
    <row r="92" spans="1:14">
      <c r="A92" s="2">
        <v>91</v>
      </c>
      <c r="B92" s="3">
        <v>45010</v>
      </c>
      <c r="C92" s="4">
        <f t="shared" si="3"/>
        <v>2023</v>
      </c>
      <c r="D92" s="4" t="s">
        <v>138</v>
      </c>
      <c r="E92" s="4" t="s">
        <v>20</v>
      </c>
      <c r="F92" s="4">
        <v>55</v>
      </c>
      <c r="G92" s="4" t="str" cm="1">
        <f t="array" ref="G92">_xlfn.IFS(F92&lt;30,"Young Adult",F92&lt;50,"Adult",F92&gt;=50,"Senior")</f>
        <v>Senior</v>
      </c>
      <c r="H92" s="4" t="s">
        <v>24</v>
      </c>
      <c r="I92" s="4">
        <v>1</v>
      </c>
      <c r="J92" s="11">
        <v>500</v>
      </c>
      <c r="K92" s="13">
        <f>I92*J92</f>
        <v>500</v>
      </c>
      <c r="L92" s="19">
        <f t="shared" si="4"/>
        <v>7.5</v>
      </c>
      <c r="M92" s="19">
        <f t="shared" si="5"/>
        <v>10</v>
      </c>
      <c r="N92" s="13" cm="1">
        <f t="array" ref="N92">_xlfn.IFS(C92=2023,K92*$P$2,C92=2024,K92*$P$3)</f>
        <v>7.5</v>
      </c>
    </row>
    <row r="93" spans="1:14">
      <c r="A93" s="2">
        <v>92</v>
      </c>
      <c r="B93" s="3">
        <v>45163</v>
      </c>
      <c r="C93" s="4">
        <f t="shared" si="3"/>
        <v>2023</v>
      </c>
      <c r="D93" s="4" t="s">
        <v>139</v>
      </c>
      <c r="E93" s="4" t="s">
        <v>20</v>
      </c>
      <c r="F93" s="4">
        <v>51</v>
      </c>
      <c r="G93" s="4" t="str" cm="1">
        <f t="array" ref="G93">_xlfn.IFS(F93&lt;30,"Young Adult",F93&lt;50,"Adult",F93&gt;=50,"Senior")</f>
        <v>Senior</v>
      </c>
      <c r="H93" s="4" t="s">
        <v>24</v>
      </c>
      <c r="I93" s="4">
        <v>4</v>
      </c>
      <c r="J93" s="11">
        <v>30</v>
      </c>
      <c r="K93" s="13">
        <f>I93*J93</f>
        <v>120</v>
      </c>
      <c r="L93" s="19">
        <f t="shared" si="4"/>
        <v>1.7999999999999998</v>
      </c>
      <c r="M93" s="19">
        <f t="shared" si="5"/>
        <v>2.4</v>
      </c>
      <c r="N93" s="13" cm="1">
        <f t="array" ref="N93">_xlfn.IFS(C93=2023,K93*$P$2,C93=2024,K93*$P$3)</f>
        <v>1.7999999999999998</v>
      </c>
    </row>
    <row r="94" spans="1:14">
      <c r="A94" s="2">
        <v>93</v>
      </c>
      <c r="B94" s="3">
        <v>45121</v>
      </c>
      <c r="C94" s="4">
        <f t="shared" si="3"/>
        <v>2023</v>
      </c>
      <c r="D94" s="4" t="s">
        <v>140</v>
      </c>
      <c r="E94" s="4" t="s">
        <v>20</v>
      </c>
      <c r="F94" s="4">
        <v>35</v>
      </c>
      <c r="G94" s="4" t="str" cm="1">
        <f t="array" ref="G94">_xlfn.IFS(F94&lt;30,"Young Adult",F94&lt;50,"Adult",F94&gt;=50,"Senior")</f>
        <v>Adult</v>
      </c>
      <c r="H94" s="4" t="s">
        <v>17</v>
      </c>
      <c r="I94" s="4">
        <v>4</v>
      </c>
      <c r="J94" s="11">
        <v>500</v>
      </c>
      <c r="K94" s="13">
        <f>I94*J94</f>
        <v>2000</v>
      </c>
      <c r="L94" s="19">
        <f t="shared" si="4"/>
        <v>30</v>
      </c>
      <c r="M94" s="19">
        <f t="shared" si="5"/>
        <v>40</v>
      </c>
      <c r="N94" s="13" cm="1">
        <f t="array" ref="N94">_xlfn.IFS(C94=2023,K94*$P$2,C94=2024,K94*$P$3)</f>
        <v>30</v>
      </c>
    </row>
    <row r="95" spans="1:14">
      <c r="A95" s="2">
        <v>94</v>
      </c>
      <c r="B95" s="3">
        <v>45065</v>
      </c>
      <c r="C95" s="4">
        <f t="shared" si="3"/>
        <v>2023</v>
      </c>
      <c r="D95" s="4" t="s">
        <v>141</v>
      </c>
      <c r="E95" s="4" t="s">
        <v>20</v>
      </c>
      <c r="F95" s="4">
        <v>47</v>
      </c>
      <c r="G95" s="4" t="str" cm="1">
        <f t="array" ref="G95">_xlfn.IFS(F95&lt;30,"Young Adult",F95&lt;50,"Adult",F95&gt;=50,"Senior")</f>
        <v>Adult</v>
      </c>
      <c r="H95" s="4" t="s">
        <v>17</v>
      </c>
      <c r="I95" s="4">
        <v>2</v>
      </c>
      <c r="J95" s="11">
        <v>500</v>
      </c>
      <c r="K95" s="13">
        <f>I95*J95</f>
        <v>1000</v>
      </c>
      <c r="L95" s="19">
        <f t="shared" si="4"/>
        <v>15</v>
      </c>
      <c r="M95" s="19">
        <f t="shared" si="5"/>
        <v>20</v>
      </c>
      <c r="N95" s="13" cm="1">
        <f t="array" ref="N95">_xlfn.IFS(C95=2023,K95*$P$2,C95=2024,K95*$P$3)</f>
        <v>15</v>
      </c>
    </row>
    <row r="96" spans="1:14">
      <c r="A96" s="2">
        <v>95</v>
      </c>
      <c r="B96" s="3">
        <v>45254</v>
      </c>
      <c r="C96" s="4">
        <f t="shared" si="3"/>
        <v>2023</v>
      </c>
      <c r="D96" s="4" t="s">
        <v>142</v>
      </c>
      <c r="E96" s="4" t="s">
        <v>20</v>
      </c>
      <c r="F96" s="4">
        <v>32</v>
      </c>
      <c r="G96" s="4" t="str" cm="1">
        <f t="array" ref="G96">_xlfn.IFS(F96&lt;30,"Young Adult",F96&lt;50,"Adult",F96&gt;=50,"Senior")</f>
        <v>Adult</v>
      </c>
      <c r="H96" s="4" t="s">
        <v>21</v>
      </c>
      <c r="I96" s="4">
        <v>2</v>
      </c>
      <c r="J96" s="11">
        <v>30</v>
      </c>
      <c r="K96" s="13">
        <f>I96*J96</f>
        <v>60</v>
      </c>
      <c r="L96" s="19">
        <f t="shared" si="4"/>
        <v>0.89999999999999991</v>
      </c>
      <c r="M96" s="19">
        <f t="shared" si="5"/>
        <v>1.2</v>
      </c>
      <c r="N96" s="13" cm="1">
        <f t="array" ref="N96">_xlfn.IFS(C96=2023,K96*$P$2,C96=2024,K96*$P$3)</f>
        <v>0.89999999999999991</v>
      </c>
    </row>
    <row r="97" spans="1:14">
      <c r="A97" s="2">
        <v>96</v>
      </c>
      <c r="B97" s="3">
        <v>45279</v>
      </c>
      <c r="C97" s="4">
        <f t="shared" si="3"/>
        <v>2023</v>
      </c>
      <c r="D97" s="4" t="s">
        <v>143</v>
      </c>
      <c r="E97" s="4" t="s">
        <v>20</v>
      </c>
      <c r="F97" s="4">
        <v>44</v>
      </c>
      <c r="G97" s="4" t="str" cm="1">
        <f t="array" ref="G97">_xlfn.IFS(F97&lt;30,"Young Adult",F97&lt;50,"Adult",F97&gt;=50,"Senior")</f>
        <v>Adult</v>
      </c>
      <c r="H97" s="4" t="s">
        <v>21</v>
      </c>
      <c r="I97" s="4">
        <v>2</v>
      </c>
      <c r="J97" s="11">
        <v>300</v>
      </c>
      <c r="K97" s="13">
        <f>I97*J97</f>
        <v>600</v>
      </c>
      <c r="L97" s="19">
        <f t="shared" si="4"/>
        <v>9</v>
      </c>
      <c r="M97" s="19">
        <f t="shared" si="5"/>
        <v>12</v>
      </c>
      <c r="N97" s="13" cm="1">
        <f t="array" ref="N97">_xlfn.IFS(C97=2023,K97*$P$2,C97=2024,K97*$P$3)</f>
        <v>9</v>
      </c>
    </row>
    <row r="98" spans="1:14">
      <c r="A98" s="2">
        <v>97</v>
      </c>
      <c r="B98" s="3">
        <v>45212</v>
      </c>
      <c r="C98" s="4">
        <f t="shared" si="3"/>
        <v>2023</v>
      </c>
      <c r="D98" s="4" t="s">
        <v>144</v>
      </c>
      <c r="E98" s="4" t="s">
        <v>20</v>
      </c>
      <c r="F98" s="4">
        <v>51</v>
      </c>
      <c r="G98" s="4" t="str" cm="1">
        <f t="array" ref="G98">_xlfn.IFS(F98&lt;30,"Young Adult",F98&lt;50,"Adult",F98&gt;=50,"Senior")</f>
        <v>Senior</v>
      </c>
      <c r="H98" s="4" t="s">
        <v>17</v>
      </c>
      <c r="I98" s="4">
        <v>2</v>
      </c>
      <c r="J98" s="11">
        <v>500</v>
      </c>
      <c r="K98" s="13">
        <f>I98*J98</f>
        <v>1000</v>
      </c>
      <c r="L98" s="19">
        <f t="shared" si="4"/>
        <v>15</v>
      </c>
      <c r="M98" s="19">
        <f t="shared" si="5"/>
        <v>20</v>
      </c>
      <c r="N98" s="13" cm="1">
        <f t="array" ref="N98">_xlfn.IFS(C98=2023,K98*$P$2,C98=2024,K98*$P$3)</f>
        <v>15</v>
      </c>
    </row>
    <row r="99" spans="1:14">
      <c r="A99" s="2">
        <v>98</v>
      </c>
      <c r="B99" s="3">
        <v>45039</v>
      </c>
      <c r="C99" s="4">
        <f t="shared" si="3"/>
        <v>2023</v>
      </c>
      <c r="D99" s="4" t="s">
        <v>145</v>
      </c>
      <c r="E99" s="4" t="s">
        <v>20</v>
      </c>
      <c r="F99" s="4">
        <v>55</v>
      </c>
      <c r="G99" s="4" t="str" cm="1">
        <f t="array" ref="G99">_xlfn.IFS(F99&lt;30,"Young Adult",F99&lt;50,"Adult",F99&gt;=50,"Senior")</f>
        <v>Senior</v>
      </c>
      <c r="H99" s="4" t="s">
        <v>17</v>
      </c>
      <c r="I99" s="4">
        <v>2</v>
      </c>
      <c r="J99" s="11">
        <v>50</v>
      </c>
      <c r="K99" s="13">
        <f>I99*J99</f>
        <v>100</v>
      </c>
      <c r="L99" s="19">
        <f t="shared" si="4"/>
        <v>1.5</v>
      </c>
      <c r="M99" s="19">
        <f t="shared" si="5"/>
        <v>2</v>
      </c>
      <c r="N99" s="13" cm="1">
        <f t="array" ref="N99">_xlfn.IFS(C99=2023,K99*$P$2,C99=2024,K99*$P$3)</f>
        <v>1.5</v>
      </c>
    </row>
    <row r="100" spans="1:14">
      <c r="A100" s="2">
        <v>99</v>
      </c>
      <c r="B100" s="3">
        <v>45277</v>
      </c>
      <c r="C100" s="4">
        <f t="shared" si="3"/>
        <v>2023</v>
      </c>
      <c r="D100" s="4" t="s">
        <v>146</v>
      </c>
      <c r="E100" s="4" t="s">
        <v>20</v>
      </c>
      <c r="F100" s="4">
        <v>50</v>
      </c>
      <c r="G100" s="4" t="str" cm="1">
        <f t="array" ref="G100">_xlfn.IFS(F100&lt;30,"Young Adult",F100&lt;50,"Adult",F100&gt;=50,"Senior")</f>
        <v>Senior</v>
      </c>
      <c r="H100" s="4" t="s">
        <v>24</v>
      </c>
      <c r="I100" s="4">
        <v>4</v>
      </c>
      <c r="J100" s="11">
        <v>300</v>
      </c>
      <c r="K100" s="13">
        <f>I100*J100</f>
        <v>1200</v>
      </c>
      <c r="L100" s="19">
        <f t="shared" si="4"/>
        <v>18</v>
      </c>
      <c r="M100" s="19">
        <f t="shared" si="5"/>
        <v>24</v>
      </c>
      <c r="N100" s="13" cm="1">
        <f t="array" ref="N100">_xlfn.IFS(C100=2023,K100*$P$2,C100=2024,K100*$P$3)</f>
        <v>18</v>
      </c>
    </row>
    <row r="101" spans="1:14">
      <c r="A101" s="2">
        <v>100</v>
      </c>
      <c r="B101" s="3">
        <v>45093</v>
      </c>
      <c r="C101" s="4">
        <f t="shared" si="3"/>
        <v>2023</v>
      </c>
      <c r="D101" s="4" t="s">
        <v>147</v>
      </c>
      <c r="E101" s="4" t="s">
        <v>16</v>
      </c>
      <c r="F101" s="4">
        <v>41</v>
      </c>
      <c r="G101" s="4" t="str" cm="1">
        <f t="array" ref="G101">_xlfn.IFS(F101&lt;30,"Young Adult",F101&lt;50,"Adult",F101&gt;=50,"Senior")</f>
        <v>Adult</v>
      </c>
      <c r="H101" s="4" t="s">
        <v>24</v>
      </c>
      <c r="I101" s="4">
        <v>1</v>
      </c>
      <c r="J101" s="11">
        <v>30</v>
      </c>
      <c r="K101" s="13">
        <f>I101*J101</f>
        <v>30</v>
      </c>
      <c r="L101" s="19">
        <f t="shared" si="4"/>
        <v>0.44999999999999996</v>
      </c>
      <c r="M101" s="19">
        <f t="shared" si="5"/>
        <v>0.6</v>
      </c>
      <c r="N101" s="13" cm="1">
        <f t="array" ref="N101">_xlfn.IFS(C101=2023,K101*$P$2,C101=2024,K101*$P$3)</f>
        <v>0.44999999999999996</v>
      </c>
    </row>
    <row r="102" spans="1:14">
      <c r="A102" s="2">
        <v>101</v>
      </c>
      <c r="B102" s="3">
        <v>44955</v>
      </c>
      <c r="C102" s="4">
        <f t="shared" si="3"/>
        <v>2023</v>
      </c>
      <c r="D102" s="4" t="s">
        <v>148</v>
      </c>
      <c r="E102" s="4" t="s">
        <v>16</v>
      </c>
      <c r="F102" s="4">
        <v>32</v>
      </c>
      <c r="G102" s="4" t="str" cm="1">
        <f t="array" ref="G102">_xlfn.IFS(F102&lt;30,"Young Adult",F102&lt;50,"Adult",F102&gt;=50,"Senior")</f>
        <v>Adult</v>
      </c>
      <c r="H102" s="4" t="s">
        <v>21</v>
      </c>
      <c r="I102" s="4">
        <v>2</v>
      </c>
      <c r="J102" s="11">
        <v>300</v>
      </c>
      <c r="K102" s="13">
        <f>I102*J102</f>
        <v>600</v>
      </c>
      <c r="L102" s="19">
        <f t="shared" si="4"/>
        <v>9</v>
      </c>
      <c r="M102" s="19">
        <f t="shared" si="5"/>
        <v>12</v>
      </c>
      <c r="N102" s="13" cm="1">
        <f t="array" ref="N102">_xlfn.IFS(C102=2023,K102*$P$2,C102=2024,K102*$P$3)</f>
        <v>9</v>
      </c>
    </row>
    <row r="103" spans="1:14">
      <c r="A103" s="2">
        <v>102</v>
      </c>
      <c r="B103" s="3">
        <v>45044</v>
      </c>
      <c r="C103" s="4">
        <f t="shared" si="3"/>
        <v>2023</v>
      </c>
      <c r="D103" s="4" t="s">
        <v>149</v>
      </c>
      <c r="E103" s="4" t="s">
        <v>20</v>
      </c>
      <c r="F103" s="4">
        <v>47</v>
      </c>
      <c r="G103" s="4" t="str" cm="1">
        <f t="array" ref="G103">_xlfn.IFS(F103&lt;30,"Young Adult",F103&lt;50,"Adult",F103&gt;=50,"Senior")</f>
        <v>Adult</v>
      </c>
      <c r="H103" s="4" t="s">
        <v>17</v>
      </c>
      <c r="I103" s="4">
        <v>2</v>
      </c>
      <c r="J103" s="11">
        <v>25</v>
      </c>
      <c r="K103" s="13">
        <f>I103*J103</f>
        <v>50</v>
      </c>
      <c r="L103" s="19">
        <f t="shared" si="4"/>
        <v>0.75</v>
      </c>
      <c r="M103" s="19">
        <f t="shared" si="5"/>
        <v>1</v>
      </c>
      <c r="N103" s="13" cm="1">
        <f t="array" ref="N103">_xlfn.IFS(C103=2023,K103*$P$2,C103=2024,K103*$P$3)</f>
        <v>0.75</v>
      </c>
    </row>
    <row r="104" spans="1:14">
      <c r="A104" s="2">
        <v>103</v>
      </c>
      <c r="B104" s="3">
        <v>44943</v>
      </c>
      <c r="C104" s="4">
        <f t="shared" si="3"/>
        <v>2023</v>
      </c>
      <c r="D104" s="4" t="s">
        <v>150</v>
      </c>
      <c r="E104" s="4" t="s">
        <v>20</v>
      </c>
      <c r="F104" s="4">
        <v>59</v>
      </c>
      <c r="G104" s="4" t="str" cm="1">
        <f t="array" ref="G104">_xlfn.IFS(F104&lt;30,"Young Adult",F104&lt;50,"Adult",F104&gt;=50,"Senior")</f>
        <v>Senior</v>
      </c>
      <c r="H104" s="4" t="s">
        <v>21</v>
      </c>
      <c r="I104" s="4">
        <v>1</v>
      </c>
      <c r="J104" s="11">
        <v>25</v>
      </c>
      <c r="K104" s="13">
        <f>I104*J104</f>
        <v>25</v>
      </c>
      <c r="L104" s="19">
        <f t="shared" si="4"/>
        <v>0.375</v>
      </c>
      <c r="M104" s="19">
        <f t="shared" si="5"/>
        <v>0.5</v>
      </c>
      <c r="N104" s="13" cm="1">
        <f t="array" ref="N104">_xlfn.IFS(C104=2023,K104*$P$2,C104=2024,K104*$P$3)</f>
        <v>0.375</v>
      </c>
    </row>
    <row r="105" spans="1:14">
      <c r="A105" s="2">
        <v>104</v>
      </c>
      <c r="B105" s="3">
        <v>45088</v>
      </c>
      <c r="C105" s="4">
        <f t="shared" si="3"/>
        <v>2023</v>
      </c>
      <c r="D105" s="4" t="s">
        <v>151</v>
      </c>
      <c r="E105" s="4" t="s">
        <v>20</v>
      </c>
      <c r="F105" s="4">
        <v>34</v>
      </c>
      <c r="G105" s="4" t="str" cm="1">
        <f t="array" ref="G105">_xlfn.IFS(F105&lt;30,"Young Adult",F105&lt;50,"Adult",F105&gt;=50,"Senior")</f>
        <v>Adult</v>
      </c>
      <c r="H105" s="4" t="s">
        <v>17</v>
      </c>
      <c r="I105" s="4">
        <v>2</v>
      </c>
      <c r="J105" s="11">
        <v>500</v>
      </c>
      <c r="K105" s="13">
        <f>I105*J105</f>
        <v>1000</v>
      </c>
      <c r="L105" s="19">
        <f t="shared" si="4"/>
        <v>15</v>
      </c>
      <c r="M105" s="19">
        <f t="shared" si="5"/>
        <v>20</v>
      </c>
      <c r="N105" s="13" cm="1">
        <f t="array" ref="N105">_xlfn.IFS(C105=2023,K105*$P$2,C105=2024,K105*$P$3)</f>
        <v>15</v>
      </c>
    </row>
    <row r="106" spans="1:14">
      <c r="A106" s="2">
        <v>105</v>
      </c>
      <c r="B106" s="3">
        <v>45132</v>
      </c>
      <c r="C106" s="4">
        <f t="shared" si="3"/>
        <v>2023</v>
      </c>
      <c r="D106" s="4" t="s">
        <v>152</v>
      </c>
      <c r="E106" s="4" t="s">
        <v>20</v>
      </c>
      <c r="F106" s="4">
        <v>22</v>
      </c>
      <c r="G106" s="4" t="str" cm="1">
        <f t="array" ref="G106">_xlfn.IFS(F106&lt;30,"Young Adult",F106&lt;50,"Adult",F106&gt;=50,"Senior")</f>
        <v>Young Adult</v>
      </c>
      <c r="H106" s="4" t="s">
        <v>24</v>
      </c>
      <c r="I106" s="4">
        <v>1</v>
      </c>
      <c r="J106" s="11">
        <v>500</v>
      </c>
      <c r="K106" s="13">
        <f>I106*J106</f>
        <v>500</v>
      </c>
      <c r="L106" s="19">
        <f t="shared" si="4"/>
        <v>7.5</v>
      </c>
      <c r="M106" s="19">
        <f t="shared" si="5"/>
        <v>10</v>
      </c>
      <c r="N106" s="13" cm="1">
        <f t="array" ref="N106">_xlfn.IFS(C106=2023,K106*$P$2,C106=2024,K106*$P$3)</f>
        <v>7.5</v>
      </c>
    </row>
    <row r="107" spans="1:14">
      <c r="A107" s="2">
        <v>106</v>
      </c>
      <c r="B107" s="3">
        <v>45064</v>
      </c>
      <c r="C107" s="4">
        <f t="shared" si="3"/>
        <v>2023</v>
      </c>
      <c r="D107" s="4" t="s">
        <v>153</v>
      </c>
      <c r="E107" s="4" t="s">
        <v>20</v>
      </c>
      <c r="F107" s="4">
        <v>46</v>
      </c>
      <c r="G107" s="4" t="str" cm="1">
        <f t="array" ref="G107">_xlfn.IFS(F107&lt;30,"Young Adult",F107&lt;50,"Adult",F107&gt;=50,"Senior")</f>
        <v>Adult</v>
      </c>
      <c r="H107" s="4" t="s">
        <v>21</v>
      </c>
      <c r="I107" s="4">
        <v>1</v>
      </c>
      <c r="J107" s="11">
        <v>50</v>
      </c>
      <c r="K107" s="13">
        <f>I107*J107</f>
        <v>50</v>
      </c>
      <c r="L107" s="19">
        <f t="shared" si="4"/>
        <v>0.75</v>
      </c>
      <c r="M107" s="19">
        <f t="shared" si="5"/>
        <v>1</v>
      </c>
      <c r="N107" s="13" cm="1">
        <f t="array" ref="N107">_xlfn.IFS(C107=2023,K107*$P$2,C107=2024,K107*$P$3)</f>
        <v>0.75</v>
      </c>
    </row>
    <row r="108" spans="1:14">
      <c r="A108" s="2">
        <v>107</v>
      </c>
      <c r="B108" s="3">
        <v>44960</v>
      </c>
      <c r="C108" s="4">
        <f t="shared" si="3"/>
        <v>2023</v>
      </c>
      <c r="D108" s="4" t="s">
        <v>154</v>
      </c>
      <c r="E108" s="4" t="s">
        <v>20</v>
      </c>
      <c r="F108" s="4">
        <v>21</v>
      </c>
      <c r="G108" s="4" t="str" cm="1">
        <f t="array" ref="G108">_xlfn.IFS(F108&lt;30,"Young Adult",F108&lt;50,"Adult",F108&gt;=50,"Senior")</f>
        <v>Young Adult</v>
      </c>
      <c r="H108" s="4" t="s">
        <v>21</v>
      </c>
      <c r="I108" s="4">
        <v>4</v>
      </c>
      <c r="J108" s="11">
        <v>300</v>
      </c>
      <c r="K108" s="13">
        <f>I108*J108</f>
        <v>1200</v>
      </c>
      <c r="L108" s="19">
        <f t="shared" si="4"/>
        <v>18</v>
      </c>
      <c r="M108" s="19">
        <f t="shared" si="5"/>
        <v>24</v>
      </c>
      <c r="N108" s="13" cm="1">
        <f t="array" ref="N108">_xlfn.IFS(C108=2023,K108*$P$2,C108=2024,K108*$P$3)</f>
        <v>18</v>
      </c>
    </row>
    <row r="109" spans="1:14">
      <c r="A109" s="2">
        <v>108</v>
      </c>
      <c r="B109" s="3">
        <v>45035</v>
      </c>
      <c r="C109" s="4">
        <f t="shared" si="3"/>
        <v>2023</v>
      </c>
      <c r="D109" s="4" t="s">
        <v>155</v>
      </c>
      <c r="E109" s="4" t="s">
        <v>20</v>
      </c>
      <c r="F109" s="4">
        <v>27</v>
      </c>
      <c r="G109" s="4" t="str" cm="1">
        <f t="array" ref="G109">_xlfn.IFS(F109&lt;30,"Young Adult",F109&lt;50,"Adult",F109&gt;=50,"Senior")</f>
        <v>Young Adult</v>
      </c>
      <c r="H109" s="4" t="s">
        <v>17</v>
      </c>
      <c r="I109" s="4">
        <v>3</v>
      </c>
      <c r="J109" s="11">
        <v>25</v>
      </c>
      <c r="K109" s="13">
        <f>I109*J109</f>
        <v>75</v>
      </c>
      <c r="L109" s="19">
        <f t="shared" si="4"/>
        <v>1.125</v>
      </c>
      <c r="M109" s="19">
        <f t="shared" si="5"/>
        <v>1.5</v>
      </c>
      <c r="N109" s="13" cm="1">
        <f t="array" ref="N109">_xlfn.IFS(C109=2023,K109*$P$2,C109=2024,K109*$P$3)</f>
        <v>1.125</v>
      </c>
    </row>
    <row r="110" spans="1:14">
      <c r="A110" s="2">
        <v>109</v>
      </c>
      <c r="B110" s="3">
        <v>45217</v>
      </c>
      <c r="C110" s="4">
        <f t="shared" si="3"/>
        <v>2023</v>
      </c>
      <c r="D110" s="4" t="s">
        <v>156</v>
      </c>
      <c r="E110" s="4" t="s">
        <v>20</v>
      </c>
      <c r="F110" s="4">
        <v>34</v>
      </c>
      <c r="G110" s="4" t="str" cm="1">
        <f t="array" ref="G110">_xlfn.IFS(F110&lt;30,"Young Adult",F110&lt;50,"Adult",F110&gt;=50,"Senior")</f>
        <v>Adult</v>
      </c>
      <c r="H110" s="4" t="s">
        <v>24</v>
      </c>
      <c r="I110" s="4">
        <v>4</v>
      </c>
      <c r="J110" s="11">
        <v>500</v>
      </c>
      <c r="K110" s="13">
        <f>I110*J110</f>
        <v>2000</v>
      </c>
      <c r="L110" s="19">
        <f t="shared" si="4"/>
        <v>30</v>
      </c>
      <c r="M110" s="19">
        <f t="shared" si="5"/>
        <v>40</v>
      </c>
      <c r="N110" s="13" cm="1">
        <f t="array" ref="N110">_xlfn.IFS(C110=2023,K110*$P$2,C110=2024,K110*$P$3)</f>
        <v>30</v>
      </c>
    </row>
    <row r="111" spans="1:14">
      <c r="A111" s="2">
        <v>110</v>
      </c>
      <c r="B111" s="3">
        <v>45088</v>
      </c>
      <c r="C111" s="4">
        <f t="shared" si="3"/>
        <v>2023</v>
      </c>
      <c r="D111" s="4" t="s">
        <v>157</v>
      </c>
      <c r="E111" s="4" t="s">
        <v>16</v>
      </c>
      <c r="F111" s="4">
        <v>27</v>
      </c>
      <c r="G111" s="4" t="str" cm="1">
        <f t="array" ref="G111">_xlfn.IFS(F111&lt;30,"Young Adult",F111&lt;50,"Adult",F111&gt;=50,"Senior")</f>
        <v>Young Adult</v>
      </c>
      <c r="H111" s="4" t="s">
        <v>21</v>
      </c>
      <c r="I111" s="4">
        <v>3</v>
      </c>
      <c r="J111" s="11">
        <v>300</v>
      </c>
      <c r="K111" s="13">
        <f>I111*J111</f>
        <v>900</v>
      </c>
      <c r="L111" s="19">
        <f t="shared" si="4"/>
        <v>13.5</v>
      </c>
      <c r="M111" s="19">
        <f t="shared" si="5"/>
        <v>18</v>
      </c>
      <c r="N111" s="13" cm="1">
        <f t="array" ref="N111">_xlfn.IFS(C111=2023,K111*$P$2,C111=2024,K111*$P$3)</f>
        <v>13.5</v>
      </c>
    </row>
    <row r="112" spans="1:14">
      <c r="A112" s="2">
        <v>111</v>
      </c>
      <c r="B112" s="3">
        <v>45035</v>
      </c>
      <c r="C112" s="4">
        <f t="shared" si="3"/>
        <v>2023</v>
      </c>
      <c r="D112" s="4" t="s">
        <v>158</v>
      </c>
      <c r="E112" s="4" t="s">
        <v>20</v>
      </c>
      <c r="F112" s="4">
        <v>34</v>
      </c>
      <c r="G112" s="4" t="str" cm="1">
        <f t="array" ref="G112">_xlfn.IFS(F112&lt;30,"Young Adult",F112&lt;50,"Adult",F112&gt;=50,"Senior")</f>
        <v>Adult</v>
      </c>
      <c r="H112" s="4" t="s">
        <v>24</v>
      </c>
      <c r="I112" s="4">
        <v>3</v>
      </c>
      <c r="J112" s="11">
        <v>500</v>
      </c>
      <c r="K112" s="13">
        <f>I112*J112</f>
        <v>1500</v>
      </c>
      <c r="L112" s="19">
        <f t="shared" si="4"/>
        <v>22.5</v>
      </c>
      <c r="M112" s="19">
        <f t="shared" si="5"/>
        <v>30</v>
      </c>
      <c r="N112" s="13" cm="1">
        <f t="array" ref="N112">_xlfn.IFS(C112=2023,K112*$P$2,C112=2024,K112*$P$3)</f>
        <v>22.5</v>
      </c>
    </row>
    <row r="113" spans="1:14">
      <c r="A113" s="2">
        <v>112</v>
      </c>
      <c r="B113" s="3">
        <v>45262</v>
      </c>
      <c r="C113" s="4">
        <f t="shared" si="3"/>
        <v>2023</v>
      </c>
      <c r="D113" s="4" t="s">
        <v>159</v>
      </c>
      <c r="E113" s="4" t="s">
        <v>16</v>
      </c>
      <c r="F113" s="4">
        <v>37</v>
      </c>
      <c r="G113" s="4" t="str" cm="1">
        <f t="array" ref="G113">_xlfn.IFS(F113&lt;30,"Young Adult",F113&lt;50,"Adult",F113&gt;=50,"Senior")</f>
        <v>Adult</v>
      </c>
      <c r="H113" s="4" t="s">
        <v>21</v>
      </c>
      <c r="I113" s="4">
        <v>3</v>
      </c>
      <c r="J113" s="11">
        <v>500</v>
      </c>
      <c r="K113" s="13">
        <f>I113*J113</f>
        <v>1500</v>
      </c>
      <c r="L113" s="19">
        <f t="shared" si="4"/>
        <v>22.5</v>
      </c>
      <c r="M113" s="19">
        <f t="shared" si="5"/>
        <v>30</v>
      </c>
      <c r="N113" s="13" cm="1">
        <f t="array" ref="N113">_xlfn.IFS(C113=2023,K113*$P$2,C113=2024,K113*$P$3)</f>
        <v>22.5</v>
      </c>
    </row>
    <row r="114" spans="1:14">
      <c r="A114" s="2">
        <v>113</v>
      </c>
      <c r="B114" s="3">
        <v>45182</v>
      </c>
      <c r="C114" s="4">
        <f t="shared" si="3"/>
        <v>2023</v>
      </c>
      <c r="D114" s="4" t="s">
        <v>160</v>
      </c>
      <c r="E114" s="4" t="s">
        <v>20</v>
      </c>
      <c r="F114" s="4">
        <v>41</v>
      </c>
      <c r="G114" s="4" t="str" cm="1">
        <f t="array" ref="G114">_xlfn.IFS(F114&lt;30,"Young Adult",F114&lt;50,"Adult",F114&gt;=50,"Senior")</f>
        <v>Adult</v>
      </c>
      <c r="H114" s="4" t="s">
        <v>24</v>
      </c>
      <c r="I114" s="4">
        <v>2</v>
      </c>
      <c r="J114" s="11">
        <v>25</v>
      </c>
      <c r="K114" s="13">
        <f>I114*J114</f>
        <v>50</v>
      </c>
      <c r="L114" s="19">
        <f t="shared" si="4"/>
        <v>0.75</v>
      </c>
      <c r="M114" s="19">
        <f t="shared" si="5"/>
        <v>1</v>
      </c>
      <c r="N114" s="13" cm="1">
        <f t="array" ref="N114">_xlfn.IFS(C114=2023,K114*$P$2,C114=2024,K114*$P$3)</f>
        <v>0.75</v>
      </c>
    </row>
    <row r="115" spans="1:14">
      <c r="A115" s="2">
        <v>114</v>
      </c>
      <c r="B115" s="3">
        <v>45129</v>
      </c>
      <c r="C115" s="4">
        <f t="shared" si="3"/>
        <v>2023</v>
      </c>
      <c r="D115" s="4" t="s">
        <v>161</v>
      </c>
      <c r="E115" s="4" t="s">
        <v>20</v>
      </c>
      <c r="F115" s="4">
        <v>22</v>
      </c>
      <c r="G115" s="4" t="str" cm="1">
        <f t="array" ref="G115">_xlfn.IFS(F115&lt;30,"Young Adult",F115&lt;50,"Adult",F115&gt;=50,"Senior")</f>
        <v>Young Adult</v>
      </c>
      <c r="H115" s="4" t="s">
        <v>17</v>
      </c>
      <c r="I115" s="4">
        <v>4</v>
      </c>
      <c r="J115" s="11">
        <v>25</v>
      </c>
      <c r="K115" s="13">
        <f>I115*J115</f>
        <v>100</v>
      </c>
      <c r="L115" s="19">
        <f t="shared" si="4"/>
        <v>1.5</v>
      </c>
      <c r="M115" s="19">
        <f t="shared" si="5"/>
        <v>2</v>
      </c>
      <c r="N115" s="13" cm="1">
        <f t="array" ref="N115">_xlfn.IFS(C115=2023,K115*$P$2,C115=2024,K115*$P$3)</f>
        <v>1.5</v>
      </c>
    </row>
    <row r="116" spans="1:14">
      <c r="A116" s="2">
        <v>115</v>
      </c>
      <c r="B116" s="3">
        <v>45256</v>
      </c>
      <c r="C116" s="4">
        <f t="shared" si="3"/>
        <v>2023</v>
      </c>
      <c r="D116" s="4" t="s">
        <v>162</v>
      </c>
      <c r="E116" s="4" t="s">
        <v>16</v>
      </c>
      <c r="F116" s="4">
        <v>51</v>
      </c>
      <c r="G116" s="4" t="str" cm="1">
        <f t="array" ref="G116">_xlfn.IFS(F116&lt;30,"Young Adult",F116&lt;50,"Adult",F116&gt;=50,"Senior")</f>
        <v>Senior</v>
      </c>
      <c r="H116" s="4" t="s">
        <v>21</v>
      </c>
      <c r="I116" s="4">
        <v>3</v>
      </c>
      <c r="J116" s="11">
        <v>500</v>
      </c>
      <c r="K116" s="13">
        <f>I116*J116</f>
        <v>1500</v>
      </c>
      <c r="L116" s="19">
        <f t="shared" si="4"/>
        <v>22.5</v>
      </c>
      <c r="M116" s="19">
        <f t="shared" si="5"/>
        <v>30</v>
      </c>
      <c r="N116" s="13" cm="1">
        <f t="array" ref="N116">_xlfn.IFS(C116=2023,K116*$P$2,C116=2024,K116*$P$3)</f>
        <v>22.5</v>
      </c>
    </row>
    <row r="117" spans="1:14">
      <c r="A117" s="2">
        <v>116</v>
      </c>
      <c r="B117" s="3">
        <v>45161</v>
      </c>
      <c r="C117" s="4">
        <f t="shared" si="3"/>
        <v>2023</v>
      </c>
      <c r="D117" s="4" t="s">
        <v>163</v>
      </c>
      <c r="E117" s="4" t="s">
        <v>20</v>
      </c>
      <c r="F117" s="4">
        <v>23</v>
      </c>
      <c r="G117" s="4" t="str" cm="1">
        <f t="array" ref="G117">_xlfn.IFS(F117&lt;30,"Young Adult",F117&lt;50,"Adult",F117&gt;=50,"Senior")</f>
        <v>Young Adult</v>
      </c>
      <c r="H117" s="4" t="s">
        <v>21</v>
      </c>
      <c r="I117" s="4">
        <v>1</v>
      </c>
      <c r="J117" s="11">
        <v>30</v>
      </c>
      <c r="K117" s="13">
        <f>I117*J117</f>
        <v>30</v>
      </c>
      <c r="L117" s="19">
        <f t="shared" si="4"/>
        <v>0.44999999999999996</v>
      </c>
      <c r="M117" s="19">
        <f t="shared" si="5"/>
        <v>0.6</v>
      </c>
      <c r="N117" s="13" cm="1">
        <f t="array" ref="N117">_xlfn.IFS(C117=2023,K117*$P$2,C117=2024,K117*$P$3)</f>
        <v>0.44999999999999996</v>
      </c>
    </row>
    <row r="118" spans="1:14">
      <c r="A118" s="2">
        <v>117</v>
      </c>
      <c r="B118" s="3">
        <v>45000</v>
      </c>
      <c r="C118" s="4">
        <f t="shared" si="3"/>
        <v>2023</v>
      </c>
      <c r="D118" s="4" t="s">
        <v>164</v>
      </c>
      <c r="E118" s="4" t="s">
        <v>16</v>
      </c>
      <c r="F118" s="4">
        <v>19</v>
      </c>
      <c r="G118" s="4" t="str" cm="1">
        <f t="array" ref="G118">_xlfn.IFS(F118&lt;30,"Young Adult",F118&lt;50,"Adult",F118&gt;=50,"Senior")</f>
        <v>Young Adult</v>
      </c>
      <c r="H118" s="4" t="s">
        <v>24</v>
      </c>
      <c r="I118" s="4">
        <v>2</v>
      </c>
      <c r="J118" s="11">
        <v>500</v>
      </c>
      <c r="K118" s="13">
        <f>I118*J118</f>
        <v>1000</v>
      </c>
      <c r="L118" s="19">
        <f t="shared" si="4"/>
        <v>15</v>
      </c>
      <c r="M118" s="19">
        <f t="shared" si="5"/>
        <v>20</v>
      </c>
      <c r="N118" s="13" cm="1">
        <f t="array" ref="N118">_xlfn.IFS(C118=2023,K118*$P$2,C118=2024,K118*$P$3)</f>
        <v>15</v>
      </c>
    </row>
    <row r="119" spans="1:14">
      <c r="A119" s="2">
        <v>118</v>
      </c>
      <c r="B119" s="3">
        <v>45062</v>
      </c>
      <c r="C119" s="4">
        <f t="shared" si="3"/>
        <v>2023</v>
      </c>
      <c r="D119" s="4" t="s">
        <v>165</v>
      </c>
      <c r="E119" s="4" t="s">
        <v>20</v>
      </c>
      <c r="F119" s="4">
        <v>30</v>
      </c>
      <c r="G119" s="4" t="str" cm="1">
        <f t="array" ref="G119">_xlfn.IFS(F119&lt;30,"Young Adult",F119&lt;50,"Adult",F119&gt;=50,"Senior")</f>
        <v>Adult</v>
      </c>
      <c r="H119" s="4" t="s">
        <v>24</v>
      </c>
      <c r="I119" s="4">
        <v>4</v>
      </c>
      <c r="J119" s="11">
        <v>500</v>
      </c>
      <c r="K119" s="13">
        <f>I119*J119</f>
        <v>2000</v>
      </c>
      <c r="L119" s="19">
        <f t="shared" si="4"/>
        <v>30</v>
      </c>
      <c r="M119" s="19">
        <f t="shared" si="5"/>
        <v>40</v>
      </c>
      <c r="N119" s="13" cm="1">
        <f t="array" ref="N119">_xlfn.IFS(C119=2023,K119*$P$2,C119=2024,K119*$P$3)</f>
        <v>30</v>
      </c>
    </row>
    <row r="120" spans="1:14">
      <c r="A120" s="2">
        <v>119</v>
      </c>
      <c r="B120" s="3">
        <v>44998</v>
      </c>
      <c r="C120" s="4">
        <f t="shared" si="3"/>
        <v>2023</v>
      </c>
      <c r="D120" s="4" t="s">
        <v>166</v>
      </c>
      <c r="E120" s="4" t="s">
        <v>20</v>
      </c>
      <c r="F120" s="4">
        <v>60</v>
      </c>
      <c r="G120" s="4" t="str" cm="1">
        <f t="array" ref="G120">_xlfn.IFS(F120&lt;30,"Young Adult",F120&lt;50,"Adult",F120&gt;=50,"Senior")</f>
        <v>Senior</v>
      </c>
      <c r="H120" s="4" t="s">
        <v>21</v>
      </c>
      <c r="I120" s="4">
        <v>3</v>
      </c>
      <c r="J120" s="11">
        <v>50</v>
      </c>
      <c r="K120" s="13">
        <f>I120*J120</f>
        <v>150</v>
      </c>
      <c r="L120" s="19">
        <f t="shared" si="4"/>
        <v>2.25</v>
      </c>
      <c r="M120" s="19">
        <f t="shared" si="5"/>
        <v>3</v>
      </c>
      <c r="N120" s="13" cm="1">
        <f t="array" ref="N120">_xlfn.IFS(C120=2023,K120*$P$2,C120=2024,K120*$P$3)</f>
        <v>2.25</v>
      </c>
    </row>
    <row r="121" spans="1:14">
      <c r="A121" s="2">
        <v>120</v>
      </c>
      <c r="B121" s="3">
        <v>45053</v>
      </c>
      <c r="C121" s="4">
        <f t="shared" si="3"/>
        <v>2023</v>
      </c>
      <c r="D121" s="4" t="s">
        <v>167</v>
      </c>
      <c r="E121" s="4" t="s">
        <v>16</v>
      </c>
      <c r="F121" s="4">
        <v>60</v>
      </c>
      <c r="G121" s="4" t="str" cm="1">
        <f t="array" ref="G121">_xlfn.IFS(F121&lt;30,"Young Adult",F121&lt;50,"Adult",F121&gt;=50,"Senior")</f>
        <v>Senior</v>
      </c>
      <c r="H121" s="4" t="s">
        <v>17</v>
      </c>
      <c r="I121" s="4">
        <v>1</v>
      </c>
      <c r="J121" s="11">
        <v>50</v>
      </c>
      <c r="K121" s="13">
        <f>I121*J121</f>
        <v>50</v>
      </c>
      <c r="L121" s="19">
        <f t="shared" si="4"/>
        <v>0.75</v>
      </c>
      <c r="M121" s="19">
        <f t="shared" si="5"/>
        <v>1</v>
      </c>
      <c r="N121" s="13" cm="1">
        <f t="array" ref="N121">_xlfn.IFS(C121=2023,K121*$P$2,C121=2024,K121*$P$3)</f>
        <v>0.75</v>
      </c>
    </row>
    <row r="122" spans="1:14">
      <c r="A122" s="2">
        <v>121</v>
      </c>
      <c r="B122" s="3">
        <v>45214</v>
      </c>
      <c r="C122" s="4">
        <f t="shared" si="3"/>
        <v>2023</v>
      </c>
      <c r="D122" s="4" t="s">
        <v>168</v>
      </c>
      <c r="E122" s="4" t="s">
        <v>20</v>
      </c>
      <c r="F122" s="4">
        <v>28</v>
      </c>
      <c r="G122" s="4" t="str" cm="1">
        <f t="array" ref="G122">_xlfn.IFS(F122&lt;30,"Young Adult",F122&lt;50,"Adult",F122&gt;=50,"Senior")</f>
        <v>Young Adult</v>
      </c>
      <c r="H122" s="4" t="s">
        <v>24</v>
      </c>
      <c r="I122" s="4">
        <v>4</v>
      </c>
      <c r="J122" s="11">
        <v>50</v>
      </c>
      <c r="K122" s="13">
        <f>I122*J122</f>
        <v>200</v>
      </c>
      <c r="L122" s="19">
        <f t="shared" si="4"/>
        <v>3</v>
      </c>
      <c r="M122" s="19">
        <f t="shared" si="5"/>
        <v>4</v>
      </c>
      <c r="N122" s="13" cm="1">
        <f t="array" ref="N122">_xlfn.IFS(C122=2023,K122*$P$2,C122=2024,K122*$P$3)</f>
        <v>3</v>
      </c>
    </row>
    <row r="123" spans="1:14">
      <c r="A123" s="2">
        <v>122</v>
      </c>
      <c r="B123" s="3">
        <v>45202</v>
      </c>
      <c r="C123" s="4">
        <f t="shared" si="3"/>
        <v>2023</v>
      </c>
      <c r="D123" s="4" t="s">
        <v>169</v>
      </c>
      <c r="E123" s="4" t="s">
        <v>16</v>
      </c>
      <c r="F123" s="4">
        <v>64</v>
      </c>
      <c r="G123" s="4" t="str" cm="1">
        <f t="array" ref="G123">_xlfn.IFS(F123&lt;30,"Young Adult",F123&lt;50,"Adult",F123&gt;=50,"Senior")</f>
        <v>Senior</v>
      </c>
      <c r="H123" s="4" t="s">
        <v>24</v>
      </c>
      <c r="I123" s="4">
        <v>4</v>
      </c>
      <c r="J123" s="11">
        <v>30</v>
      </c>
      <c r="K123" s="13">
        <f>I123*J123</f>
        <v>120</v>
      </c>
      <c r="L123" s="19">
        <f t="shared" si="4"/>
        <v>1.7999999999999998</v>
      </c>
      <c r="M123" s="19">
        <f t="shared" si="5"/>
        <v>2.4</v>
      </c>
      <c r="N123" s="13" cm="1">
        <f t="array" ref="N123">_xlfn.IFS(C123=2023,K123*$P$2,C123=2024,K123*$P$3)</f>
        <v>1.7999999999999998</v>
      </c>
    </row>
    <row r="124" spans="1:14">
      <c r="A124" s="2">
        <v>123</v>
      </c>
      <c r="B124" s="3">
        <v>45061</v>
      </c>
      <c r="C124" s="4">
        <f t="shared" si="3"/>
        <v>2023</v>
      </c>
      <c r="D124" s="4" t="s">
        <v>170</v>
      </c>
      <c r="E124" s="4" t="s">
        <v>20</v>
      </c>
      <c r="F124" s="4">
        <v>40</v>
      </c>
      <c r="G124" s="4" t="str" cm="1">
        <f t="array" ref="G124">_xlfn.IFS(F124&lt;30,"Young Adult",F124&lt;50,"Adult",F124&gt;=50,"Senior")</f>
        <v>Adult</v>
      </c>
      <c r="H124" s="4" t="s">
        <v>24</v>
      </c>
      <c r="I124" s="4">
        <v>2</v>
      </c>
      <c r="J124" s="11">
        <v>30</v>
      </c>
      <c r="K124" s="13">
        <f>I124*J124</f>
        <v>60</v>
      </c>
      <c r="L124" s="19">
        <f t="shared" si="4"/>
        <v>0.89999999999999991</v>
      </c>
      <c r="M124" s="19">
        <f t="shared" si="5"/>
        <v>1.2</v>
      </c>
      <c r="N124" s="13" cm="1">
        <f t="array" ref="N124">_xlfn.IFS(C124=2023,K124*$P$2,C124=2024,K124*$P$3)</f>
        <v>0.89999999999999991</v>
      </c>
    </row>
    <row r="125" spans="1:14">
      <c r="A125" s="2">
        <v>124</v>
      </c>
      <c r="B125" s="3">
        <v>45226</v>
      </c>
      <c r="C125" s="4">
        <f t="shared" si="3"/>
        <v>2023</v>
      </c>
      <c r="D125" s="4" t="s">
        <v>171</v>
      </c>
      <c r="E125" s="4" t="s">
        <v>16</v>
      </c>
      <c r="F125" s="4">
        <v>33</v>
      </c>
      <c r="G125" s="4" t="str" cm="1">
        <f t="array" ref="G125">_xlfn.IFS(F125&lt;30,"Young Adult",F125&lt;50,"Adult",F125&gt;=50,"Senior")</f>
        <v>Adult</v>
      </c>
      <c r="H125" s="4" t="s">
        <v>21</v>
      </c>
      <c r="I125" s="4">
        <v>4</v>
      </c>
      <c r="J125" s="11">
        <v>500</v>
      </c>
      <c r="K125" s="13">
        <f>I125*J125</f>
        <v>2000</v>
      </c>
      <c r="L125" s="19">
        <f t="shared" si="4"/>
        <v>30</v>
      </c>
      <c r="M125" s="19">
        <f t="shared" si="5"/>
        <v>40</v>
      </c>
      <c r="N125" s="13" cm="1">
        <f t="array" ref="N125">_xlfn.IFS(C125=2023,K125*$P$2,C125=2024,K125*$P$3)</f>
        <v>30</v>
      </c>
    </row>
    <row r="126" spans="1:14">
      <c r="A126" s="2">
        <v>125</v>
      </c>
      <c r="B126" s="3">
        <v>45146</v>
      </c>
      <c r="C126" s="4">
        <f t="shared" si="3"/>
        <v>2023</v>
      </c>
      <c r="D126" s="4" t="s">
        <v>172</v>
      </c>
      <c r="E126" s="4" t="s">
        <v>16</v>
      </c>
      <c r="F126" s="4">
        <v>48</v>
      </c>
      <c r="G126" s="4" t="str" cm="1">
        <f t="array" ref="G126">_xlfn.IFS(F126&lt;30,"Young Adult",F126&lt;50,"Adult",F126&gt;=50,"Senior")</f>
        <v>Adult</v>
      </c>
      <c r="H126" s="4" t="s">
        <v>21</v>
      </c>
      <c r="I126" s="4">
        <v>2</v>
      </c>
      <c r="J126" s="11">
        <v>50</v>
      </c>
      <c r="K126" s="13">
        <f>I126*J126</f>
        <v>100</v>
      </c>
      <c r="L126" s="19">
        <f t="shared" si="4"/>
        <v>1.5</v>
      </c>
      <c r="M126" s="19">
        <f t="shared" si="5"/>
        <v>2</v>
      </c>
      <c r="N126" s="13" cm="1">
        <f t="array" ref="N126">_xlfn.IFS(C126=2023,K126*$P$2,C126=2024,K126*$P$3)</f>
        <v>1.5</v>
      </c>
    </row>
    <row r="127" spans="1:14">
      <c r="A127" s="2">
        <v>126</v>
      </c>
      <c r="B127" s="3">
        <v>45225</v>
      </c>
      <c r="C127" s="4">
        <f t="shared" si="3"/>
        <v>2023</v>
      </c>
      <c r="D127" s="4" t="s">
        <v>173</v>
      </c>
      <c r="E127" s="4" t="s">
        <v>20</v>
      </c>
      <c r="F127" s="4">
        <v>28</v>
      </c>
      <c r="G127" s="4" t="str" cm="1">
        <f t="array" ref="G127">_xlfn.IFS(F127&lt;30,"Young Adult",F127&lt;50,"Adult",F127&gt;=50,"Senior")</f>
        <v>Young Adult</v>
      </c>
      <c r="H127" s="4" t="s">
        <v>21</v>
      </c>
      <c r="I127" s="4">
        <v>3</v>
      </c>
      <c r="J127" s="11">
        <v>30</v>
      </c>
      <c r="K127" s="13">
        <f>I127*J127</f>
        <v>90</v>
      </c>
      <c r="L127" s="19">
        <f t="shared" si="4"/>
        <v>1.3499999999999999</v>
      </c>
      <c r="M127" s="19">
        <f t="shared" si="5"/>
        <v>1.8</v>
      </c>
      <c r="N127" s="13" cm="1">
        <f t="array" ref="N127">_xlfn.IFS(C127=2023,K127*$P$2,C127=2024,K127*$P$3)</f>
        <v>1.3499999999999999</v>
      </c>
    </row>
    <row r="128" spans="1:14">
      <c r="A128" s="2">
        <v>127</v>
      </c>
      <c r="B128" s="3">
        <v>45131</v>
      </c>
      <c r="C128" s="4">
        <f t="shared" si="3"/>
        <v>2023</v>
      </c>
      <c r="D128" s="4" t="s">
        <v>174</v>
      </c>
      <c r="E128" s="4" t="s">
        <v>20</v>
      </c>
      <c r="F128" s="4">
        <v>33</v>
      </c>
      <c r="G128" s="4" t="str" cm="1">
        <f t="array" ref="G128">_xlfn.IFS(F128&lt;30,"Young Adult",F128&lt;50,"Adult",F128&gt;=50,"Senior")</f>
        <v>Adult</v>
      </c>
      <c r="H128" s="4" t="s">
        <v>21</v>
      </c>
      <c r="I128" s="4">
        <v>2</v>
      </c>
      <c r="J128" s="11">
        <v>25</v>
      </c>
      <c r="K128" s="13">
        <f>I128*J128</f>
        <v>50</v>
      </c>
      <c r="L128" s="19">
        <f t="shared" si="4"/>
        <v>0.75</v>
      </c>
      <c r="M128" s="19">
        <f t="shared" si="5"/>
        <v>1</v>
      </c>
      <c r="N128" s="13" cm="1">
        <f t="array" ref="N128">_xlfn.IFS(C128=2023,K128*$P$2,C128=2024,K128*$P$3)</f>
        <v>0.75</v>
      </c>
    </row>
    <row r="129" spans="1:14">
      <c r="A129" s="2">
        <v>128</v>
      </c>
      <c r="B129" s="3">
        <v>45112</v>
      </c>
      <c r="C129" s="4">
        <f t="shared" si="3"/>
        <v>2023</v>
      </c>
      <c r="D129" s="4" t="s">
        <v>175</v>
      </c>
      <c r="E129" s="4" t="s">
        <v>16</v>
      </c>
      <c r="F129" s="4">
        <v>25</v>
      </c>
      <c r="G129" s="4" t="str" cm="1">
        <f t="array" ref="G129">_xlfn.IFS(F129&lt;30,"Young Adult",F129&lt;50,"Adult",F129&gt;=50,"Senior")</f>
        <v>Young Adult</v>
      </c>
      <c r="H129" s="4" t="s">
        <v>17</v>
      </c>
      <c r="I129" s="4">
        <v>1</v>
      </c>
      <c r="J129" s="11">
        <v>500</v>
      </c>
      <c r="K129" s="13">
        <f>I129*J129</f>
        <v>500</v>
      </c>
      <c r="L129" s="19">
        <f t="shared" si="4"/>
        <v>7.5</v>
      </c>
      <c r="M129" s="19">
        <f t="shared" si="5"/>
        <v>10</v>
      </c>
      <c r="N129" s="13" cm="1">
        <f t="array" ref="N129">_xlfn.IFS(C129=2023,K129*$P$2,C129=2024,K129*$P$3)</f>
        <v>7.5</v>
      </c>
    </row>
    <row r="130" spans="1:14">
      <c r="A130" s="2">
        <v>129</v>
      </c>
      <c r="B130" s="3">
        <v>45039</v>
      </c>
      <c r="C130" s="4">
        <f t="shared" si="3"/>
        <v>2023</v>
      </c>
      <c r="D130" s="4" t="s">
        <v>176</v>
      </c>
      <c r="E130" s="4" t="s">
        <v>20</v>
      </c>
      <c r="F130" s="4">
        <v>21</v>
      </c>
      <c r="G130" s="4" t="str" cm="1">
        <f t="array" ref="G130">_xlfn.IFS(F130&lt;30,"Young Adult",F130&lt;50,"Adult",F130&gt;=50,"Senior")</f>
        <v>Young Adult</v>
      </c>
      <c r="H130" s="4" t="s">
        <v>17</v>
      </c>
      <c r="I130" s="4">
        <v>2</v>
      </c>
      <c r="J130" s="11">
        <v>300</v>
      </c>
      <c r="K130" s="13">
        <f>I130*J130</f>
        <v>600</v>
      </c>
      <c r="L130" s="19">
        <f t="shared" si="4"/>
        <v>9</v>
      </c>
      <c r="M130" s="19">
        <f t="shared" si="5"/>
        <v>12</v>
      </c>
      <c r="N130" s="13" cm="1">
        <f t="array" ref="N130">_xlfn.IFS(C130=2023,K130*$P$2,C130=2024,K130*$P$3)</f>
        <v>9</v>
      </c>
    </row>
    <row r="131" spans="1:14">
      <c r="A131" s="2">
        <v>130</v>
      </c>
      <c r="B131" s="3">
        <v>44997</v>
      </c>
      <c r="C131" s="4">
        <f t="shared" ref="C131:C194" si="6">YEAR(B131)</f>
        <v>2023</v>
      </c>
      <c r="D131" s="4" t="s">
        <v>177</v>
      </c>
      <c r="E131" s="4" t="s">
        <v>20</v>
      </c>
      <c r="F131" s="4">
        <v>57</v>
      </c>
      <c r="G131" s="4" t="str" cm="1">
        <f t="array" ref="G131">_xlfn.IFS(F131&lt;30,"Young Adult",F131&lt;50,"Adult",F131&gt;=50,"Senior")</f>
        <v>Senior</v>
      </c>
      <c r="H131" s="4" t="s">
        <v>21</v>
      </c>
      <c r="I131" s="4">
        <v>1</v>
      </c>
      <c r="J131" s="11">
        <v>500</v>
      </c>
      <c r="K131" s="13">
        <f>I131*J131</f>
        <v>500</v>
      </c>
      <c r="L131" s="19">
        <f t="shared" ref="L131:L194" si="7">K131*$P$2</f>
        <v>7.5</v>
      </c>
      <c r="M131" s="19">
        <f t="shared" ref="M131:M194" si="8">K131*$P$3</f>
        <v>10</v>
      </c>
      <c r="N131" s="13" cm="1">
        <f t="array" ref="N131">_xlfn.IFS(C131=2023,K131*$P$2,C131=2024,K131*$P$3)</f>
        <v>7.5</v>
      </c>
    </row>
    <row r="132" spans="1:14">
      <c r="A132" s="2">
        <v>131</v>
      </c>
      <c r="B132" s="3">
        <v>45187</v>
      </c>
      <c r="C132" s="4">
        <f t="shared" si="6"/>
        <v>2023</v>
      </c>
      <c r="D132" s="4" t="s">
        <v>178</v>
      </c>
      <c r="E132" s="4" t="s">
        <v>20</v>
      </c>
      <c r="F132" s="4">
        <v>21</v>
      </c>
      <c r="G132" s="4" t="str" cm="1">
        <f t="array" ref="G132">_xlfn.IFS(F132&lt;30,"Young Adult",F132&lt;50,"Adult",F132&gt;=50,"Senior")</f>
        <v>Young Adult</v>
      </c>
      <c r="H132" s="4" t="s">
        <v>17</v>
      </c>
      <c r="I132" s="4">
        <v>2</v>
      </c>
      <c r="J132" s="11">
        <v>300</v>
      </c>
      <c r="K132" s="13">
        <f>I132*J132</f>
        <v>600</v>
      </c>
      <c r="L132" s="19">
        <f t="shared" si="7"/>
        <v>9</v>
      </c>
      <c r="M132" s="19">
        <f t="shared" si="8"/>
        <v>12</v>
      </c>
      <c r="N132" s="13" cm="1">
        <f t="array" ref="N132">_xlfn.IFS(C132=2023,K132*$P$2,C132=2024,K132*$P$3)</f>
        <v>9</v>
      </c>
    </row>
    <row r="133" spans="1:14">
      <c r="A133" s="2">
        <v>132</v>
      </c>
      <c r="B133" s="3">
        <v>45179</v>
      </c>
      <c r="C133" s="4">
        <f t="shared" si="6"/>
        <v>2023</v>
      </c>
      <c r="D133" s="4" t="s">
        <v>179</v>
      </c>
      <c r="E133" s="4" t="s">
        <v>16</v>
      </c>
      <c r="F133" s="4">
        <v>42</v>
      </c>
      <c r="G133" s="4" t="str" cm="1">
        <f t="array" ref="G133">_xlfn.IFS(F133&lt;30,"Young Adult",F133&lt;50,"Adult",F133&gt;=50,"Senior")</f>
        <v>Adult</v>
      </c>
      <c r="H133" s="4" t="s">
        <v>24</v>
      </c>
      <c r="I133" s="4">
        <v>4</v>
      </c>
      <c r="J133" s="11">
        <v>50</v>
      </c>
      <c r="K133" s="13">
        <f>I133*J133</f>
        <v>200</v>
      </c>
      <c r="L133" s="19">
        <f t="shared" si="7"/>
        <v>3</v>
      </c>
      <c r="M133" s="19">
        <f t="shared" si="8"/>
        <v>4</v>
      </c>
      <c r="N133" s="13" cm="1">
        <f t="array" ref="N133">_xlfn.IFS(C133=2023,K133*$P$2,C133=2024,K133*$P$3)</f>
        <v>3</v>
      </c>
    </row>
    <row r="134" spans="1:14">
      <c r="A134" s="2">
        <v>133</v>
      </c>
      <c r="B134" s="3">
        <v>44973</v>
      </c>
      <c r="C134" s="4">
        <f t="shared" si="6"/>
        <v>2023</v>
      </c>
      <c r="D134" s="4" t="s">
        <v>180</v>
      </c>
      <c r="E134" s="4" t="s">
        <v>16</v>
      </c>
      <c r="F134" s="4">
        <v>20</v>
      </c>
      <c r="G134" s="4" t="str" cm="1">
        <f t="array" ref="G134">_xlfn.IFS(F134&lt;30,"Young Adult",F134&lt;50,"Adult",F134&gt;=50,"Senior")</f>
        <v>Young Adult</v>
      </c>
      <c r="H134" s="4" t="s">
        <v>24</v>
      </c>
      <c r="I134" s="4">
        <v>3</v>
      </c>
      <c r="J134" s="11">
        <v>300</v>
      </c>
      <c r="K134" s="13">
        <f>I134*J134</f>
        <v>900</v>
      </c>
      <c r="L134" s="19">
        <f t="shared" si="7"/>
        <v>13.5</v>
      </c>
      <c r="M134" s="19">
        <f t="shared" si="8"/>
        <v>18</v>
      </c>
      <c r="N134" s="13" cm="1">
        <f t="array" ref="N134">_xlfn.IFS(C134=2023,K134*$P$2,C134=2024,K134*$P$3)</f>
        <v>13.5</v>
      </c>
    </row>
    <row r="135" spans="1:14">
      <c r="A135" s="2">
        <v>134</v>
      </c>
      <c r="B135" s="3">
        <v>44951</v>
      </c>
      <c r="C135" s="4">
        <f t="shared" si="6"/>
        <v>2023</v>
      </c>
      <c r="D135" s="4" t="s">
        <v>181</v>
      </c>
      <c r="E135" s="4" t="s">
        <v>16</v>
      </c>
      <c r="F135" s="4">
        <v>49</v>
      </c>
      <c r="G135" s="4" t="str" cm="1">
        <f t="array" ref="G135">_xlfn.IFS(F135&lt;30,"Young Adult",F135&lt;50,"Adult",F135&gt;=50,"Senior")</f>
        <v>Adult</v>
      </c>
      <c r="H135" s="4" t="s">
        <v>24</v>
      </c>
      <c r="I135" s="4">
        <v>1</v>
      </c>
      <c r="J135" s="11">
        <v>50</v>
      </c>
      <c r="K135" s="13">
        <f>I135*J135</f>
        <v>50</v>
      </c>
      <c r="L135" s="19">
        <f t="shared" si="7"/>
        <v>0.75</v>
      </c>
      <c r="M135" s="19">
        <f t="shared" si="8"/>
        <v>1</v>
      </c>
      <c r="N135" s="13" cm="1">
        <f t="array" ref="N135">_xlfn.IFS(C135=2023,K135*$P$2,C135=2024,K135*$P$3)</f>
        <v>0.75</v>
      </c>
    </row>
    <row r="136" spans="1:14">
      <c r="A136" s="2">
        <v>135</v>
      </c>
      <c r="B136" s="3">
        <v>44983</v>
      </c>
      <c r="C136" s="4">
        <f t="shared" si="6"/>
        <v>2023</v>
      </c>
      <c r="D136" s="4" t="s">
        <v>182</v>
      </c>
      <c r="E136" s="4" t="s">
        <v>16</v>
      </c>
      <c r="F136" s="4">
        <v>20</v>
      </c>
      <c r="G136" s="4" t="str" cm="1">
        <f t="array" ref="G136">_xlfn.IFS(F136&lt;30,"Young Adult",F136&lt;50,"Adult",F136&gt;=50,"Senior")</f>
        <v>Young Adult</v>
      </c>
      <c r="H136" s="4" t="s">
        <v>21</v>
      </c>
      <c r="I136" s="4">
        <v>2</v>
      </c>
      <c r="J136" s="11">
        <v>25</v>
      </c>
      <c r="K136" s="13">
        <f>I136*J136</f>
        <v>50</v>
      </c>
      <c r="L136" s="19">
        <f t="shared" si="7"/>
        <v>0.75</v>
      </c>
      <c r="M136" s="19">
        <f t="shared" si="8"/>
        <v>1</v>
      </c>
      <c r="N136" s="13" cm="1">
        <f t="array" ref="N136">_xlfn.IFS(C136=2023,K136*$P$2,C136=2024,K136*$P$3)</f>
        <v>0.75</v>
      </c>
    </row>
    <row r="137" spans="1:14">
      <c r="A137" s="2">
        <v>136</v>
      </c>
      <c r="B137" s="3">
        <v>45005</v>
      </c>
      <c r="C137" s="4">
        <f t="shared" si="6"/>
        <v>2023</v>
      </c>
      <c r="D137" s="4" t="s">
        <v>183</v>
      </c>
      <c r="E137" s="4" t="s">
        <v>16</v>
      </c>
      <c r="F137" s="4">
        <v>44</v>
      </c>
      <c r="G137" s="4" t="str" cm="1">
        <f t="array" ref="G137">_xlfn.IFS(F137&lt;30,"Young Adult",F137&lt;50,"Adult",F137&gt;=50,"Senior")</f>
        <v>Adult</v>
      </c>
      <c r="H137" s="4" t="s">
        <v>24</v>
      </c>
      <c r="I137" s="4">
        <v>2</v>
      </c>
      <c r="J137" s="11">
        <v>300</v>
      </c>
      <c r="K137" s="13">
        <f>I137*J137</f>
        <v>600</v>
      </c>
      <c r="L137" s="19">
        <f t="shared" si="7"/>
        <v>9</v>
      </c>
      <c r="M137" s="19">
        <f t="shared" si="8"/>
        <v>12</v>
      </c>
      <c r="N137" s="13" cm="1">
        <f t="array" ref="N137">_xlfn.IFS(C137=2023,K137*$P$2,C137=2024,K137*$P$3)</f>
        <v>9</v>
      </c>
    </row>
    <row r="138" spans="1:14">
      <c r="A138" s="2">
        <v>137</v>
      </c>
      <c r="B138" s="3">
        <v>45248</v>
      </c>
      <c r="C138" s="4">
        <f t="shared" si="6"/>
        <v>2023</v>
      </c>
      <c r="D138" s="4" t="s">
        <v>184</v>
      </c>
      <c r="E138" s="4" t="s">
        <v>16</v>
      </c>
      <c r="F138" s="4">
        <v>46</v>
      </c>
      <c r="G138" s="4" t="str" cm="1">
        <f t="array" ref="G138">_xlfn.IFS(F138&lt;30,"Young Adult",F138&lt;50,"Adult",F138&gt;=50,"Senior")</f>
        <v>Adult</v>
      </c>
      <c r="H138" s="4" t="s">
        <v>17</v>
      </c>
      <c r="I138" s="4">
        <v>2</v>
      </c>
      <c r="J138" s="11">
        <v>500</v>
      </c>
      <c r="K138" s="13">
        <f>I138*J138</f>
        <v>1000</v>
      </c>
      <c r="L138" s="19">
        <f t="shared" si="7"/>
        <v>15</v>
      </c>
      <c r="M138" s="19">
        <f t="shared" si="8"/>
        <v>20</v>
      </c>
      <c r="N138" s="13" cm="1">
        <f t="array" ref="N138">_xlfn.IFS(C138=2023,K138*$P$2,C138=2024,K138*$P$3)</f>
        <v>15</v>
      </c>
    </row>
    <row r="139" spans="1:14">
      <c r="A139" s="2">
        <v>138</v>
      </c>
      <c r="B139" s="3">
        <v>45008</v>
      </c>
      <c r="C139" s="4">
        <f t="shared" si="6"/>
        <v>2023</v>
      </c>
      <c r="D139" s="4" t="s">
        <v>185</v>
      </c>
      <c r="E139" s="4" t="s">
        <v>16</v>
      </c>
      <c r="F139" s="4">
        <v>49</v>
      </c>
      <c r="G139" s="4" t="str" cm="1">
        <f t="array" ref="G139">_xlfn.IFS(F139&lt;30,"Young Adult",F139&lt;50,"Adult",F139&gt;=50,"Senior")</f>
        <v>Adult</v>
      </c>
      <c r="H139" s="4" t="s">
        <v>21</v>
      </c>
      <c r="I139" s="4">
        <v>4</v>
      </c>
      <c r="J139" s="11">
        <v>50</v>
      </c>
      <c r="K139" s="13">
        <f>I139*J139</f>
        <v>200</v>
      </c>
      <c r="L139" s="19">
        <f t="shared" si="7"/>
        <v>3</v>
      </c>
      <c r="M139" s="19">
        <f t="shared" si="8"/>
        <v>4</v>
      </c>
      <c r="N139" s="13" cm="1">
        <f t="array" ref="N139">_xlfn.IFS(C139=2023,K139*$P$2,C139=2024,K139*$P$3)</f>
        <v>3</v>
      </c>
    </row>
    <row r="140" spans="1:14">
      <c r="A140" s="2">
        <v>139</v>
      </c>
      <c r="B140" s="3">
        <v>45275</v>
      </c>
      <c r="C140" s="4">
        <f t="shared" si="6"/>
        <v>2023</v>
      </c>
      <c r="D140" s="4" t="s">
        <v>186</v>
      </c>
      <c r="E140" s="4" t="s">
        <v>16</v>
      </c>
      <c r="F140" s="4">
        <v>36</v>
      </c>
      <c r="G140" s="4" t="str" cm="1">
        <f t="array" ref="G140">_xlfn.IFS(F140&lt;30,"Young Adult",F140&lt;50,"Adult",F140&gt;=50,"Senior")</f>
        <v>Adult</v>
      </c>
      <c r="H140" s="4" t="s">
        <v>17</v>
      </c>
      <c r="I140" s="4">
        <v>4</v>
      </c>
      <c r="J140" s="11">
        <v>500</v>
      </c>
      <c r="K140" s="13">
        <f>I140*J140</f>
        <v>2000</v>
      </c>
      <c r="L140" s="19">
        <f t="shared" si="7"/>
        <v>30</v>
      </c>
      <c r="M140" s="19">
        <f t="shared" si="8"/>
        <v>40</v>
      </c>
      <c r="N140" s="13" cm="1">
        <f t="array" ref="N140">_xlfn.IFS(C140=2023,K140*$P$2,C140=2024,K140*$P$3)</f>
        <v>30</v>
      </c>
    </row>
    <row r="141" spans="1:14">
      <c r="A141" s="2">
        <v>140</v>
      </c>
      <c r="B141" s="3">
        <v>45143</v>
      </c>
      <c r="C141" s="4">
        <f t="shared" si="6"/>
        <v>2023</v>
      </c>
      <c r="D141" s="4" t="s">
        <v>187</v>
      </c>
      <c r="E141" s="4" t="s">
        <v>16</v>
      </c>
      <c r="F141" s="4">
        <v>38</v>
      </c>
      <c r="G141" s="4" t="str" cm="1">
        <f t="array" ref="G141">_xlfn.IFS(F141&lt;30,"Young Adult",F141&lt;50,"Adult",F141&gt;=50,"Senior")</f>
        <v>Adult</v>
      </c>
      <c r="H141" s="4" t="s">
        <v>24</v>
      </c>
      <c r="I141" s="4">
        <v>1</v>
      </c>
      <c r="J141" s="11">
        <v>30</v>
      </c>
      <c r="K141" s="13">
        <f>I141*J141</f>
        <v>30</v>
      </c>
      <c r="L141" s="19">
        <f t="shared" si="7"/>
        <v>0.44999999999999996</v>
      </c>
      <c r="M141" s="19">
        <f t="shared" si="8"/>
        <v>0.6</v>
      </c>
      <c r="N141" s="13" cm="1">
        <f t="array" ref="N141">_xlfn.IFS(C141=2023,K141*$P$2,C141=2024,K141*$P$3)</f>
        <v>0.44999999999999996</v>
      </c>
    </row>
    <row r="142" spans="1:14">
      <c r="A142" s="2">
        <v>141</v>
      </c>
      <c r="B142" s="3">
        <v>45232</v>
      </c>
      <c r="C142" s="4">
        <f t="shared" si="6"/>
        <v>2023</v>
      </c>
      <c r="D142" s="4" t="s">
        <v>188</v>
      </c>
      <c r="E142" s="4" t="s">
        <v>20</v>
      </c>
      <c r="F142" s="4">
        <v>22</v>
      </c>
      <c r="G142" s="4" t="str" cm="1">
        <f t="array" ref="G142">_xlfn.IFS(F142&lt;30,"Young Adult",F142&lt;50,"Adult",F142&gt;=50,"Senior")</f>
        <v>Young Adult</v>
      </c>
      <c r="H142" s="4" t="s">
        <v>24</v>
      </c>
      <c r="I142" s="4">
        <v>1</v>
      </c>
      <c r="J142" s="11">
        <v>50</v>
      </c>
      <c r="K142" s="13">
        <f>I142*J142</f>
        <v>50</v>
      </c>
      <c r="L142" s="19">
        <f t="shared" si="7"/>
        <v>0.75</v>
      </c>
      <c r="M142" s="19">
        <f t="shared" si="8"/>
        <v>1</v>
      </c>
      <c r="N142" s="13" cm="1">
        <f t="array" ref="N142">_xlfn.IFS(C142=2023,K142*$P$2,C142=2024,K142*$P$3)</f>
        <v>0.75</v>
      </c>
    </row>
    <row r="143" spans="1:14">
      <c r="A143" s="2">
        <v>142</v>
      </c>
      <c r="B143" s="3">
        <v>44959</v>
      </c>
      <c r="C143" s="4">
        <f t="shared" si="6"/>
        <v>2023</v>
      </c>
      <c r="D143" s="4" t="s">
        <v>189</v>
      </c>
      <c r="E143" s="4" t="s">
        <v>16</v>
      </c>
      <c r="F143" s="4">
        <v>35</v>
      </c>
      <c r="G143" s="4" t="str" cm="1">
        <f t="array" ref="G143">_xlfn.IFS(F143&lt;30,"Young Adult",F143&lt;50,"Adult",F143&gt;=50,"Senior")</f>
        <v>Adult</v>
      </c>
      <c r="H143" s="4" t="s">
        <v>24</v>
      </c>
      <c r="I143" s="4">
        <v>4</v>
      </c>
      <c r="J143" s="11">
        <v>300</v>
      </c>
      <c r="K143" s="13">
        <f>I143*J143</f>
        <v>1200</v>
      </c>
      <c r="L143" s="19">
        <f t="shared" si="7"/>
        <v>18</v>
      </c>
      <c r="M143" s="19">
        <f t="shared" si="8"/>
        <v>24</v>
      </c>
      <c r="N143" s="13" cm="1">
        <f t="array" ref="N143">_xlfn.IFS(C143=2023,K143*$P$2,C143=2024,K143*$P$3)</f>
        <v>18</v>
      </c>
    </row>
    <row r="144" spans="1:14">
      <c r="A144" s="2">
        <v>143</v>
      </c>
      <c r="B144" s="3">
        <v>45124</v>
      </c>
      <c r="C144" s="4">
        <f t="shared" si="6"/>
        <v>2023</v>
      </c>
      <c r="D144" s="4" t="s">
        <v>190</v>
      </c>
      <c r="E144" s="4" t="s">
        <v>20</v>
      </c>
      <c r="F144" s="4">
        <v>45</v>
      </c>
      <c r="G144" s="4" t="str" cm="1">
        <f t="array" ref="G144">_xlfn.IFS(F144&lt;30,"Young Adult",F144&lt;50,"Adult",F144&gt;=50,"Senior")</f>
        <v>Adult</v>
      </c>
      <c r="H144" s="4" t="s">
        <v>21</v>
      </c>
      <c r="I144" s="4">
        <v>1</v>
      </c>
      <c r="J144" s="11">
        <v>50</v>
      </c>
      <c r="K144" s="13">
        <f>I144*J144</f>
        <v>50</v>
      </c>
      <c r="L144" s="19">
        <f t="shared" si="7"/>
        <v>0.75</v>
      </c>
      <c r="M144" s="19">
        <f t="shared" si="8"/>
        <v>1</v>
      </c>
      <c r="N144" s="13" cm="1">
        <f t="array" ref="N144">_xlfn.IFS(C144=2023,K144*$P$2,C144=2024,K144*$P$3)</f>
        <v>0.75</v>
      </c>
    </row>
    <row r="145" spans="1:14">
      <c r="A145" s="2">
        <v>144</v>
      </c>
      <c r="B145" s="3">
        <v>45122</v>
      </c>
      <c r="C145" s="4">
        <f t="shared" si="6"/>
        <v>2023</v>
      </c>
      <c r="D145" s="4" t="s">
        <v>191</v>
      </c>
      <c r="E145" s="4" t="s">
        <v>20</v>
      </c>
      <c r="F145" s="4">
        <v>59</v>
      </c>
      <c r="G145" s="4" t="str" cm="1">
        <f t="array" ref="G145">_xlfn.IFS(F145&lt;30,"Young Adult",F145&lt;50,"Adult",F145&gt;=50,"Senior")</f>
        <v>Senior</v>
      </c>
      <c r="H145" s="4" t="s">
        <v>17</v>
      </c>
      <c r="I145" s="4">
        <v>3</v>
      </c>
      <c r="J145" s="11">
        <v>500</v>
      </c>
      <c r="K145" s="13">
        <f>I145*J145</f>
        <v>1500</v>
      </c>
      <c r="L145" s="19">
        <f t="shared" si="7"/>
        <v>22.5</v>
      </c>
      <c r="M145" s="19">
        <f t="shared" si="8"/>
        <v>30</v>
      </c>
      <c r="N145" s="13" cm="1">
        <f t="array" ref="N145">_xlfn.IFS(C145=2023,K145*$P$2,C145=2024,K145*$P$3)</f>
        <v>22.5</v>
      </c>
    </row>
    <row r="146" spans="1:14">
      <c r="A146" s="2">
        <v>145</v>
      </c>
      <c r="B146" s="3">
        <v>45232</v>
      </c>
      <c r="C146" s="4">
        <f t="shared" si="6"/>
        <v>2023</v>
      </c>
      <c r="D146" s="4" t="s">
        <v>192</v>
      </c>
      <c r="E146" s="4" t="s">
        <v>20</v>
      </c>
      <c r="F146" s="4">
        <v>39</v>
      </c>
      <c r="G146" s="4" t="str" cm="1">
        <f t="array" ref="G146">_xlfn.IFS(F146&lt;30,"Young Adult",F146&lt;50,"Adult",F146&gt;=50,"Senior")</f>
        <v>Adult</v>
      </c>
      <c r="H146" s="4" t="s">
        <v>21</v>
      </c>
      <c r="I146" s="4">
        <v>3</v>
      </c>
      <c r="J146" s="11">
        <v>25</v>
      </c>
      <c r="K146" s="13">
        <f>I146*J146</f>
        <v>75</v>
      </c>
      <c r="L146" s="19">
        <f t="shared" si="7"/>
        <v>1.125</v>
      </c>
      <c r="M146" s="19">
        <f t="shared" si="8"/>
        <v>1.5</v>
      </c>
      <c r="N146" s="13" cm="1">
        <f t="array" ref="N146">_xlfn.IFS(C146=2023,K146*$P$2,C146=2024,K146*$P$3)</f>
        <v>1.125</v>
      </c>
    </row>
    <row r="147" spans="1:14">
      <c r="A147" s="2">
        <v>146</v>
      </c>
      <c r="B147" s="3">
        <v>45166</v>
      </c>
      <c r="C147" s="4">
        <f t="shared" si="6"/>
        <v>2023</v>
      </c>
      <c r="D147" s="4" t="s">
        <v>193</v>
      </c>
      <c r="E147" s="4" t="s">
        <v>16</v>
      </c>
      <c r="F147" s="4">
        <v>38</v>
      </c>
      <c r="G147" s="4" t="str" cm="1">
        <f t="array" ref="G147">_xlfn.IFS(F147&lt;30,"Young Adult",F147&lt;50,"Adult",F147&gt;=50,"Senior")</f>
        <v>Adult</v>
      </c>
      <c r="H147" s="4" t="s">
        <v>21</v>
      </c>
      <c r="I147" s="4">
        <v>4</v>
      </c>
      <c r="J147" s="11">
        <v>50</v>
      </c>
      <c r="K147" s="13">
        <f>I147*J147</f>
        <v>200</v>
      </c>
      <c r="L147" s="19">
        <f t="shared" si="7"/>
        <v>3</v>
      </c>
      <c r="M147" s="19">
        <f t="shared" si="8"/>
        <v>4</v>
      </c>
      <c r="N147" s="13" cm="1">
        <f t="array" ref="N147">_xlfn.IFS(C147=2023,K147*$P$2,C147=2024,K147*$P$3)</f>
        <v>3</v>
      </c>
    </row>
    <row r="148" spans="1:14">
      <c r="A148" s="2">
        <v>147</v>
      </c>
      <c r="B148" s="3">
        <v>45197</v>
      </c>
      <c r="C148" s="4">
        <f t="shared" si="6"/>
        <v>2023</v>
      </c>
      <c r="D148" s="4" t="s">
        <v>194</v>
      </c>
      <c r="E148" s="4" t="s">
        <v>16</v>
      </c>
      <c r="F148" s="4">
        <v>23</v>
      </c>
      <c r="G148" s="4" t="str" cm="1">
        <f t="array" ref="G148">_xlfn.IFS(F148&lt;30,"Young Adult",F148&lt;50,"Adult",F148&gt;=50,"Senior")</f>
        <v>Young Adult</v>
      </c>
      <c r="H148" s="4" t="s">
        <v>24</v>
      </c>
      <c r="I148" s="4">
        <v>1</v>
      </c>
      <c r="J148" s="11">
        <v>300</v>
      </c>
      <c r="K148" s="13">
        <f>I148*J148</f>
        <v>300</v>
      </c>
      <c r="L148" s="19">
        <f t="shared" si="7"/>
        <v>4.5</v>
      </c>
      <c r="M148" s="19">
        <f t="shared" si="8"/>
        <v>6</v>
      </c>
      <c r="N148" s="13" cm="1">
        <f t="array" ref="N148">_xlfn.IFS(C148=2023,K148*$P$2,C148=2024,K148*$P$3)</f>
        <v>4.5</v>
      </c>
    </row>
    <row r="149" spans="1:14">
      <c r="A149" s="2">
        <v>148</v>
      </c>
      <c r="B149" s="3">
        <v>45055</v>
      </c>
      <c r="C149" s="4">
        <f t="shared" si="6"/>
        <v>2023</v>
      </c>
      <c r="D149" s="4" t="s">
        <v>195</v>
      </c>
      <c r="E149" s="4" t="s">
        <v>16</v>
      </c>
      <c r="F149" s="4">
        <v>18</v>
      </c>
      <c r="G149" s="4" t="str" cm="1">
        <f t="array" ref="G149">_xlfn.IFS(F149&lt;30,"Young Adult",F149&lt;50,"Adult",F149&gt;=50,"Senior")</f>
        <v>Young Adult</v>
      </c>
      <c r="H149" s="4" t="s">
        <v>21</v>
      </c>
      <c r="I149" s="4">
        <v>2</v>
      </c>
      <c r="J149" s="11">
        <v>30</v>
      </c>
      <c r="K149" s="13">
        <f>I149*J149</f>
        <v>60</v>
      </c>
      <c r="L149" s="19">
        <f t="shared" si="7"/>
        <v>0.89999999999999991</v>
      </c>
      <c r="M149" s="19">
        <f t="shared" si="8"/>
        <v>1.2</v>
      </c>
      <c r="N149" s="13" cm="1">
        <f t="array" ref="N149">_xlfn.IFS(C149=2023,K149*$P$2,C149=2024,K149*$P$3)</f>
        <v>0.89999999999999991</v>
      </c>
    </row>
    <row r="150" spans="1:14">
      <c r="A150" s="2">
        <v>149</v>
      </c>
      <c r="B150" s="3">
        <v>45210</v>
      </c>
      <c r="C150" s="4">
        <f t="shared" si="6"/>
        <v>2023</v>
      </c>
      <c r="D150" s="4" t="s">
        <v>196</v>
      </c>
      <c r="E150" s="4" t="s">
        <v>16</v>
      </c>
      <c r="F150" s="4">
        <v>22</v>
      </c>
      <c r="G150" s="4" t="str" cm="1">
        <f t="array" ref="G150">_xlfn.IFS(F150&lt;30,"Young Adult",F150&lt;50,"Adult",F150&gt;=50,"Senior")</f>
        <v>Young Adult</v>
      </c>
      <c r="H150" s="4" t="s">
        <v>21</v>
      </c>
      <c r="I150" s="4">
        <v>3</v>
      </c>
      <c r="J150" s="11">
        <v>25</v>
      </c>
      <c r="K150" s="13">
        <f>I150*J150</f>
        <v>75</v>
      </c>
      <c r="L150" s="19">
        <f t="shared" si="7"/>
        <v>1.125</v>
      </c>
      <c r="M150" s="19">
        <f t="shared" si="8"/>
        <v>1.5</v>
      </c>
      <c r="N150" s="13" cm="1">
        <f t="array" ref="N150">_xlfn.IFS(C150=2023,K150*$P$2,C150=2024,K150*$P$3)</f>
        <v>1.125</v>
      </c>
    </row>
    <row r="151" spans="1:14">
      <c r="A151" s="2">
        <v>150</v>
      </c>
      <c r="B151" s="3">
        <v>44932</v>
      </c>
      <c r="C151" s="4">
        <f t="shared" si="6"/>
        <v>2023</v>
      </c>
      <c r="D151" s="4" t="s">
        <v>197</v>
      </c>
      <c r="E151" s="4" t="s">
        <v>20</v>
      </c>
      <c r="F151" s="4">
        <v>58</v>
      </c>
      <c r="G151" s="4" t="str" cm="1">
        <f t="array" ref="G151">_xlfn.IFS(F151&lt;30,"Young Adult",F151&lt;50,"Adult",F151&gt;=50,"Senior")</f>
        <v>Senior</v>
      </c>
      <c r="H151" s="4" t="s">
        <v>24</v>
      </c>
      <c r="I151" s="4">
        <v>4</v>
      </c>
      <c r="J151" s="11">
        <v>30</v>
      </c>
      <c r="K151" s="13">
        <f>I151*J151</f>
        <v>120</v>
      </c>
      <c r="L151" s="19">
        <f t="shared" si="7"/>
        <v>1.7999999999999998</v>
      </c>
      <c r="M151" s="19">
        <f t="shared" si="8"/>
        <v>2.4</v>
      </c>
      <c r="N151" s="13" cm="1">
        <f t="array" ref="N151">_xlfn.IFS(C151=2023,K151*$P$2,C151=2024,K151*$P$3)</f>
        <v>1.7999999999999998</v>
      </c>
    </row>
    <row r="152" spans="1:14">
      <c r="A152" s="2">
        <v>151</v>
      </c>
      <c r="B152" s="3">
        <v>45275</v>
      </c>
      <c r="C152" s="4">
        <f t="shared" si="6"/>
        <v>2023</v>
      </c>
      <c r="D152" s="4" t="s">
        <v>198</v>
      </c>
      <c r="E152" s="4" t="s">
        <v>16</v>
      </c>
      <c r="F152" s="4">
        <v>29</v>
      </c>
      <c r="G152" s="4" t="str" cm="1">
        <f t="array" ref="G152">_xlfn.IFS(F152&lt;30,"Young Adult",F152&lt;50,"Adult",F152&gt;=50,"Senior")</f>
        <v>Young Adult</v>
      </c>
      <c r="H152" s="4" t="s">
        <v>21</v>
      </c>
      <c r="I152" s="4">
        <v>1</v>
      </c>
      <c r="J152" s="11">
        <v>50</v>
      </c>
      <c r="K152" s="13">
        <f>I152*J152</f>
        <v>50</v>
      </c>
      <c r="L152" s="19">
        <f t="shared" si="7"/>
        <v>0.75</v>
      </c>
      <c r="M152" s="19">
        <f t="shared" si="8"/>
        <v>1</v>
      </c>
      <c r="N152" s="13" cm="1">
        <f t="array" ref="N152">_xlfn.IFS(C152=2023,K152*$P$2,C152=2024,K152*$P$3)</f>
        <v>0.75</v>
      </c>
    </row>
    <row r="153" spans="1:14">
      <c r="A153" s="2">
        <v>152</v>
      </c>
      <c r="B153" s="3">
        <v>44985</v>
      </c>
      <c r="C153" s="4">
        <f t="shared" si="6"/>
        <v>2023</v>
      </c>
      <c r="D153" s="4" t="s">
        <v>199</v>
      </c>
      <c r="E153" s="4" t="s">
        <v>16</v>
      </c>
      <c r="F153" s="4">
        <v>43</v>
      </c>
      <c r="G153" s="4" t="str" cm="1">
        <f t="array" ref="G153">_xlfn.IFS(F153&lt;30,"Young Adult",F153&lt;50,"Adult",F153&gt;=50,"Senior")</f>
        <v>Adult</v>
      </c>
      <c r="H153" s="4" t="s">
        <v>24</v>
      </c>
      <c r="I153" s="4">
        <v>4</v>
      </c>
      <c r="J153" s="11">
        <v>500</v>
      </c>
      <c r="K153" s="13">
        <f>I153*J153</f>
        <v>2000</v>
      </c>
      <c r="L153" s="19">
        <f t="shared" si="7"/>
        <v>30</v>
      </c>
      <c r="M153" s="19">
        <f t="shared" si="8"/>
        <v>40</v>
      </c>
      <c r="N153" s="13" cm="1">
        <f t="array" ref="N153">_xlfn.IFS(C153=2023,K153*$P$2,C153=2024,K153*$P$3)</f>
        <v>30</v>
      </c>
    </row>
    <row r="154" spans="1:14">
      <c r="A154" s="2">
        <v>153</v>
      </c>
      <c r="B154" s="3">
        <v>45276</v>
      </c>
      <c r="C154" s="4">
        <f t="shared" si="6"/>
        <v>2023</v>
      </c>
      <c r="D154" s="4" t="s">
        <v>200</v>
      </c>
      <c r="E154" s="4" t="s">
        <v>16</v>
      </c>
      <c r="F154" s="4">
        <v>63</v>
      </c>
      <c r="G154" s="4" t="str" cm="1">
        <f t="array" ref="G154">_xlfn.IFS(F154&lt;30,"Young Adult",F154&lt;50,"Adult",F154&gt;=50,"Senior")</f>
        <v>Senior</v>
      </c>
      <c r="H154" s="4" t="s">
        <v>24</v>
      </c>
      <c r="I154" s="4">
        <v>2</v>
      </c>
      <c r="J154" s="11">
        <v>500</v>
      </c>
      <c r="K154" s="13">
        <f>I154*J154</f>
        <v>1000</v>
      </c>
      <c r="L154" s="19">
        <f t="shared" si="7"/>
        <v>15</v>
      </c>
      <c r="M154" s="19">
        <f t="shared" si="8"/>
        <v>20</v>
      </c>
      <c r="N154" s="13" cm="1">
        <f t="array" ref="N154">_xlfn.IFS(C154=2023,K154*$P$2,C154=2024,K154*$P$3)</f>
        <v>15</v>
      </c>
    </row>
    <row r="155" spans="1:14">
      <c r="A155" s="2">
        <v>154</v>
      </c>
      <c r="B155" s="3">
        <v>45201</v>
      </c>
      <c r="C155" s="4">
        <f t="shared" si="6"/>
        <v>2023</v>
      </c>
      <c r="D155" s="4" t="s">
        <v>201</v>
      </c>
      <c r="E155" s="4" t="s">
        <v>16</v>
      </c>
      <c r="F155" s="4">
        <v>51</v>
      </c>
      <c r="G155" s="4" t="str" cm="1">
        <f t="array" ref="G155">_xlfn.IFS(F155&lt;30,"Young Adult",F155&lt;50,"Adult",F155&gt;=50,"Senior")</f>
        <v>Senior</v>
      </c>
      <c r="H155" s="4" t="s">
        <v>24</v>
      </c>
      <c r="I155" s="4">
        <v>3</v>
      </c>
      <c r="J155" s="11">
        <v>300</v>
      </c>
      <c r="K155" s="13">
        <f>I155*J155</f>
        <v>900</v>
      </c>
      <c r="L155" s="19">
        <f t="shared" si="7"/>
        <v>13.5</v>
      </c>
      <c r="M155" s="19">
        <f t="shared" si="8"/>
        <v>18</v>
      </c>
      <c r="N155" s="13" cm="1">
        <f t="array" ref="N155">_xlfn.IFS(C155=2023,K155*$P$2,C155=2024,K155*$P$3)</f>
        <v>13.5</v>
      </c>
    </row>
    <row r="156" spans="1:14">
      <c r="A156" s="2">
        <v>155</v>
      </c>
      <c r="B156" s="3">
        <v>45063</v>
      </c>
      <c r="C156" s="4">
        <f t="shared" si="6"/>
        <v>2023</v>
      </c>
      <c r="D156" s="4" t="s">
        <v>202</v>
      </c>
      <c r="E156" s="4" t="s">
        <v>16</v>
      </c>
      <c r="F156" s="4">
        <v>31</v>
      </c>
      <c r="G156" s="4" t="str" cm="1">
        <f t="array" ref="G156">_xlfn.IFS(F156&lt;30,"Young Adult",F156&lt;50,"Adult",F156&gt;=50,"Senior")</f>
        <v>Adult</v>
      </c>
      <c r="H156" s="4" t="s">
        <v>24</v>
      </c>
      <c r="I156" s="4">
        <v>4</v>
      </c>
      <c r="J156" s="11">
        <v>500</v>
      </c>
      <c r="K156" s="13">
        <f>I156*J156</f>
        <v>2000</v>
      </c>
      <c r="L156" s="19">
        <f t="shared" si="7"/>
        <v>30</v>
      </c>
      <c r="M156" s="19">
        <f t="shared" si="8"/>
        <v>40</v>
      </c>
      <c r="N156" s="13" cm="1">
        <f t="array" ref="N156">_xlfn.IFS(C156=2023,K156*$P$2,C156=2024,K156*$P$3)</f>
        <v>30</v>
      </c>
    </row>
    <row r="157" spans="1:14">
      <c r="A157" s="2">
        <v>156</v>
      </c>
      <c r="B157" s="3">
        <v>45255</v>
      </c>
      <c r="C157" s="4">
        <f t="shared" si="6"/>
        <v>2023</v>
      </c>
      <c r="D157" s="4" t="s">
        <v>203</v>
      </c>
      <c r="E157" s="4" t="s">
        <v>20</v>
      </c>
      <c r="F157" s="4">
        <v>43</v>
      </c>
      <c r="G157" s="4" t="str" cm="1">
        <f t="array" ref="G157">_xlfn.IFS(F157&lt;30,"Young Adult",F157&lt;50,"Adult",F157&gt;=50,"Senior")</f>
        <v>Adult</v>
      </c>
      <c r="H157" s="4" t="s">
        <v>21</v>
      </c>
      <c r="I157" s="4">
        <v>4</v>
      </c>
      <c r="J157" s="11">
        <v>25</v>
      </c>
      <c r="K157" s="13">
        <f>I157*J157</f>
        <v>100</v>
      </c>
      <c r="L157" s="19">
        <f t="shared" si="7"/>
        <v>1.5</v>
      </c>
      <c r="M157" s="19">
        <f t="shared" si="8"/>
        <v>2</v>
      </c>
      <c r="N157" s="13" cm="1">
        <f t="array" ref="N157">_xlfn.IFS(C157=2023,K157*$P$2,C157=2024,K157*$P$3)</f>
        <v>1.5</v>
      </c>
    </row>
    <row r="158" spans="1:14">
      <c r="A158" s="2">
        <v>157</v>
      </c>
      <c r="B158" s="3">
        <v>45101</v>
      </c>
      <c r="C158" s="4">
        <f t="shared" si="6"/>
        <v>2023</v>
      </c>
      <c r="D158" s="4" t="s">
        <v>204</v>
      </c>
      <c r="E158" s="4" t="s">
        <v>16</v>
      </c>
      <c r="F158" s="4">
        <v>62</v>
      </c>
      <c r="G158" s="4" t="str" cm="1">
        <f t="array" ref="G158">_xlfn.IFS(F158&lt;30,"Young Adult",F158&lt;50,"Adult",F158&gt;=50,"Senior")</f>
        <v>Senior</v>
      </c>
      <c r="H158" s="4" t="s">
        <v>24</v>
      </c>
      <c r="I158" s="4">
        <v>4</v>
      </c>
      <c r="J158" s="11">
        <v>500</v>
      </c>
      <c r="K158" s="13">
        <f>I158*J158</f>
        <v>2000</v>
      </c>
      <c r="L158" s="19">
        <f t="shared" si="7"/>
        <v>30</v>
      </c>
      <c r="M158" s="19">
        <f t="shared" si="8"/>
        <v>40</v>
      </c>
      <c r="N158" s="13" cm="1">
        <f t="array" ref="N158">_xlfn.IFS(C158=2023,K158*$P$2,C158=2024,K158*$P$3)</f>
        <v>30</v>
      </c>
    </row>
    <row r="159" spans="1:14">
      <c r="A159" s="2">
        <v>158</v>
      </c>
      <c r="B159" s="3">
        <v>44984</v>
      </c>
      <c r="C159" s="4">
        <f t="shared" si="6"/>
        <v>2023</v>
      </c>
      <c r="D159" s="4" t="s">
        <v>205</v>
      </c>
      <c r="E159" s="4" t="s">
        <v>20</v>
      </c>
      <c r="F159" s="4">
        <v>44</v>
      </c>
      <c r="G159" s="4" t="str" cm="1">
        <f t="array" ref="G159">_xlfn.IFS(F159&lt;30,"Young Adult",F159&lt;50,"Adult",F159&gt;=50,"Senior")</f>
        <v>Adult</v>
      </c>
      <c r="H159" s="4" t="s">
        <v>24</v>
      </c>
      <c r="I159" s="4">
        <v>2</v>
      </c>
      <c r="J159" s="11">
        <v>300</v>
      </c>
      <c r="K159" s="13">
        <f>I159*J159</f>
        <v>600</v>
      </c>
      <c r="L159" s="19">
        <f t="shared" si="7"/>
        <v>9</v>
      </c>
      <c r="M159" s="19">
        <f t="shared" si="8"/>
        <v>12</v>
      </c>
      <c r="N159" s="13" cm="1">
        <f t="array" ref="N159">_xlfn.IFS(C159=2023,K159*$P$2,C159=2024,K159*$P$3)</f>
        <v>9</v>
      </c>
    </row>
    <row r="160" spans="1:14">
      <c r="A160" s="2">
        <v>159</v>
      </c>
      <c r="B160" s="3">
        <v>45077</v>
      </c>
      <c r="C160" s="4">
        <f t="shared" si="6"/>
        <v>2023</v>
      </c>
      <c r="D160" s="4" t="s">
        <v>206</v>
      </c>
      <c r="E160" s="4" t="s">
        <v>16</v>
      </c>
      <c r="F160" s="4">
        <v>26</v>
      </c>
      <c r="G160" s="4" t="str" cm="1">
        <f t="array" ref="G160">_xlfn.IFS(F160&lt;30,"Young Adult",F160&lt;50,"Adult",F160&gt;=50,"Senior")</f>
        <v>Young Adult</v>
      </c>
      <c r="H160" s="4" t="s">
        <v>21</v>
      </c>
      <c r="I160" s="4">
        <v>4</v>
      </c>
      <c r="J160" s="11">
        <v>50</v>
      </c>
      <c r="K160" s="13">
        <f>I160*J160</f>
        <v>200</v>
      </c>
      <c r="L160" s="19">
        <f t="shared" si="7"/>
        <v>3</v>
      </c>
      <c r="M160" s="19">
        <f t="shared" si="8"/>
        <v>4</v>
      </c>
      <c r="N160" s="13" cm="1">
        <f t="array" ref="N160">_xlfn.IFS(C160=2023,K160*$P$2,C160=2024,K160*$P$3)</f>
        <v>3</v>
      </c>
    </row>
    <row r="161" spans="1:14">
      <c r="A161" s="2">
        <v>160</v>
      </c>
      <c r="B161" s="3">
        <v>45149</v>
      </c>
      <c r="C161" s="4">
        <f t="shared" si="6"/>
        <v>2023</v>
      </c>
      <c r="D161" s="4" t="s">
        <v>207</v>
      </c>
      <c r="E161" s="4" t="s">
        <v>20</v>
      </c>
      <c r="F161" s="4">
        <v>43</v>
      </c>
      <c r="G161" s="4" t="str" cm="1">
        <f t="array" ref="G161">_xlfn.IFS(F161&lt;30,"Young Adult",F161&lt;50,"Adult",F161&gt;=50,"Senior")</f>
        <v>Adult</v>
      </c>
      <c r="H161" s="4" t="s">
        <v>21</v>
      </c>
      <c r="I161" s="4">
        <v>2</v>
      </c>
      <c r="J161" s="11">
        <v>50</v>
      </c>
      <c r="K161" s="13">
        <f>I161*J161</f>
        <v>100</v>
      </c>
      <c r="L161" s="19">
        <f t="shared" si="7"/>
        <v>1.5</v>
      </c>
      <c r="M161" s="19">
        <f t="shared" si="8"/>
        <v>2</v>
      </c>
      <c r="N161" s="13" cm="1">
        <f t="array" ref="N161">_xlfn.IFS(C161=2023,K161*$P$2,C161=2024,K161*$P$3)</f>
        <v>1.5</v>
      </c>
    </row>
    <row r="162" spans="1:14">
      <c r="A162" s="2">
        <v>161</v>
      </c>
      <c r="B162" s="3">
        <v>45007</v>
      </c>
      <c r="C162" s="4">
        <f t="shared" si="6"/>
        <v>2023</v>
      </c>
      <c r="D162" s="4" t="s">
        <v>208</v>
      </c>
      <c r="E162" s="4" t="s">
        <v>16</v>
      </c>
      <c r="F162" s="4">
        <v>64</v>
      </c>
      <c r="G162" s="4" t="str" cm="1">
        <f t="array" ref="G162">_xlfn.IFS(F162&lt;30,"Young Adult",F162&lt;50,"Adult",F162&gt;=50,"Senior")</f>
        <v>Senior</v>
      </c>
      <c r="H162" s="4" t="s">
        <v>17</v>
      </c>
      <c r="I162" s="4">
        <v>2</v>
      </c>
      <c r="J162" s="11">
        <v>500</v>
      </c>
      <c r="K162" s="13">
        <f>I162*J162</f>
        <v>1000</v>
      </c>
      <c r="L162" s="19">
        <f t="shared" si="7"/>
        <v>15</v>
      </c>
      <c r="M162" s="19">
        <f t="shared" si="8"/>
        <v>20</v>
      </c>
      <c r="N162" s="13" cm="1">
        <f t="array" ref="N162">_xlfn.IFS(C162=2023,K162*$P$2,C162=2024,K162*$P$3)</f>
        <v>15</v>
      </c>
    </row>
    <row r="163" spans="1:14">
      <c r="A163" s="2">
        <v>162</v>
      </c>
      <c r="B163" s="3">
        <v>45159</v>
      </c>
      <c r="C163" s="4">
        <f t="shared" si="6"/>
        <v>2023</v>
      </c>
      <c r="D163" s="4" t="s">
        <v>209</v>
      </c>
      <c r="E163" s="4" t="s">
        <v>16</v>
      </c>
      <c r="F163" s="4">
        <v>39</v>
      </c>
      <c r="G163" s="4" t="str" cm="1">
        <f t="array" ref="G163">_xlfn.IFS(F163&lt;30,"Young Adult",F163&lt;50,"Adult",F163&gt;=50,"Senior")</f>
        <v>Adult</v>
      </c>
      <c r="H163" s="4" t="s">
        <v>21</v>
      </c>
      <c r="I163" s="4">
        <v>2</v>
      </c>
      <c r="J163" s="11">
        <v>30</v>
      </c>
      <c r="K163" s="13">
        <f>I163*J163</f>
        <v>60</v>
      </c>
      <c r="L163" s="19">
        <f t="shared" si="7"/>
        <v>0.89999999999999991</v>
      </c>
      <c r="M163" s="19">
        <f t="shared" si="8"/>
        <v>1.2</v>
      </c>
      <c r="N163" s="13" cm="1">
        <f t="array" ref="N163">_xlfn.IFS(C163=2023,K163*$P$2,C163=2024,K163*$P$3)</f>
        <v>0.89999999999999991</v>
      </c>
    </row>
    <row r="164" spans="1:14">
      <c r="A164" s="2">
        <v>163</v>
      </c>
      <c r="B164" s="3">
        <v>44928</v>
      </c>
      <c r="C164" s="4">
        <f t="shared" si="6"/>
        <v>2023</v>
      </c>
      <c r="D164" s="4" t="s">
        <v>210</v>
      </c>
      <c r="E164" s="4" t="s">
        <v>20</v>
      </c>
      <c r="F164" s="4">
        <v>64</v>
      </c>
      <c r="G164" s="4" t="str" cm="1">
        <f t="array" ref="G164">_xlfn.IFS(F164&lt;30,"Young Adult",F164&lt;50,"Adult",F164&gt;=50,"Senior")</f>
        <v>Senior</v>
      </c>
      <c r="H164" s="4" t="s">
        <v>21</v>
      </c>
      <c r="I164" s="4">
        <v>3</v>
      </c>
      <c r="J164" s="11">
        <v>50</v>
      </c>
      <c r="K164" s="13">
        <f>I164*J164</f>
        <v>150</v>
      </c>
      <c r="L164" s="19">
        <f t="shared" si="7"/>
        <v>2.25</v>
      </c>
      <c r="M164" s="19">
        <f t="shared" si="8"/>
        <v>3</v>
      </c>
      <c r="N164" s="13" cm="1">
        <f t="array" ref="N164">_xlfn.IFS(C164=2023,K164*$P$2,C164=2024,K164*$P$3)</f>
        <v>2.25</v>
      </c>
    </row>
    <row r="165" spans="1:14">
      <c r="A165" s="2">
        <v>164</v>
      </c>
      <c r="B165" s="3">
        <v>45061</v>
      </c>
      <c r="C165" s="4">
        <f t="shared" si="6"/>
        <v>2023</v>
      </c>
      <c r="D165" s="4" t="s">
        <v>211</v>
      </c>
      <c r="E165" s="4" t="s">
        <v>20</v>
      </c>
      <c r="F165" s="4">
        <v>47</v>
      </c>
      <c r="G165" s="4" t="str" cm="1">
        <f t="array" ref="G165">_xlfn.IFS(F165&lt;30,"Young Adult",F165&lt;50,"Adult",F165&gt;=50,"Senior")</f>
        <v>Adult</v>
      </c>
      <c r="H165" s="4" t="s">
        <v>17</v>
      </c>
      <c r="I165" s="4">
        <v>3</v>
      </c>
      <c r="J165" s="11">
        <v>500</v>
      </c>
      <c r="K165" s="13">
        <f>I165*J165</f>
        <v>1500</v>
      </c>
      <c r="L165" s="19">
        <f t="shared" si="7"/>
        <v>22.5</v>
      </c>
      <c r="M165" s="19">
        <f t="shared" si="8"/>
        <v>30</v>
      </c>
      <c r="N165" s="13" cm="1">
        <f t="array" ref="N165">_xlfn.IFS(C165=2023,K165*$P$2,C165=2024,K165*$P$3)</f>
        <v>22.5</v>
      </c>
    </row>
    <row r="166" spans="1:14">
      <c r="A166" s="2">
        <v>165</v>
      </c>
      <c r="B166" s="3">
        <v>45183</v>
      </c>
      <c r="C166" s="4">
        <f t="shared" si="6"/>
        <v>2023</v>
      </c>
      <c r="D166" s="4" t="s">
        <v>212</v>
      </c>
      <c r="E166" s="4" t="s">
        <v>20</v>
      </c>
      <c r="F166" s="4">
        <v>60</v>
      </c>
      <c r="G166" s="4" t="str" cm="1">
        <f t="array" ref="G166">_xlfn.IFS(F166&lt;30,"Young Adult",F166&lt;50,"Adult",F166&gt;=50,"Senior")</f>
        <v>Senior</v>
      </c>
      <c r="H166" s="4" t="s">
        <v>21</v>
      </c>
      <c r="I166" s="4">
        <v>4</v>
      </c>
      <c r="J166" s="11">
        <v>300</v>
      </c>
      <c r="K166" s="13">
        <f>I166*J166</f>
        <v>1200</v>
      </c>
      <c r="L166" s="19">
        <f t="shared" si="7"/>
        <v>18</v>
      </c>
      <c r="M166" s="19">
        <f t="shared" si="8"/>
        <v>24</v>
      </c>
      <c r="N166" s="13" cm="1">
        <f t="array" ref="N166">_xlfn.IFS(C166=2023,K166*$P$2,C166=2024,K166*$P$3)</f>
        <v>18</v>
      </c>
    </row>
    <row r="167" spans="1:14">
      <c r="A167" s="2">
        <v>166</v>
      </c>
      <c r="B167" s="3">
        <v>45018</v>
      </c>
      <c r="C167" s="4">
        <f t="shared" si="6"/>
        <v>2023</v>
      </c>
      <c r="D167" s="4" t="s">
        <v>213</v>
      </c>
      <c r="E167" s="4" t="s">
        <v>16</v>
      </c>
      <c r="F167" s="4">
        <v>34</v>
      </c>
      <c r="G167" s="4" t="str" cm="1">
        <f t="array" ref="G167">_xlfn.IFS(F167&lt;30,"Young Adult",F167&lt;50,"Adult",F167&gt;=50,"Senior")</f>
        <v>Adult</v>
      </c>
      <c r="H167" s="4" t="s">
        <v>21</v>
      </c>
      <c r="I167" s="4">
        <v>4</v>
      </c>
      <c r="J167" s="11">
        <v>500</v>
      </c>
      <c r="K167" s="13">
        <f>I167*J167</f>
        <v>2000</v>
      </c>
      <c r="L167" s="19">
        <f t="shared" si="7"/>
        <v>30</v>
      </c>
      <c r="M167" s="19">
        <f t="shared" si="8"/>
        <v>40</v>
      </c>
      <c r="N167" s="13" cm="1">
        <f t="array" ref="N167">_xlfn.IFS(C167=2023,K167*$P$2,C167=2024,K167*$P$3)</f>
        <v>30</v>
      </c>
    </row>
    <row r="168" spans="1:14">
      <c r="A168" s="2">
        <v>167</v>
      </c>
      <c r="B168" s="3">
        <v>45186</v>
      </c>
      <c r="C168" s="4">
        <f t="shared" si="6"/>
        <v>2023</v>
      </c>
      <c r="D168" s="4" t="s">
        <v>214</v>
      </c>
      <c r="E168" s="4" t="s">
        <v>20</v>
      </c>
      <c r="F168" s="4">
        <v>43</v>
      </c>
      <c r="G168" s="4" t="str" cm="1">
        <f t="array" ref="G168">_xlfn.IFS(F168&lt;30,"Young Adult",F168&lt;50,"Adult",F168&gt;=50,"Senior")</f>
        <v>Adult</v>
      </c>
      <c r="H168" s="4" t="s">
        <v>21</v>
      </c>
      <c r="I168" s="4">
        <v>3</v>
      </c>
      <c r="J168" s="11">
        <v>50</v>
      </c>
      <c r="K168" s="13">
        <f>I168*J168</f>
        <v>150</v>
      </c>
      <c r="L168" s="19">
        <f t="shared" si="7"/>
        <v>2.25</v>
      </c>
      <c r="M168" s="19">
        <f t="shared" si="8"/>
        <v>3</v>
      </c>
      <c r="N168" s="13" cm="1">
        <f t="array" ref="N168">_xlfn.IFS(C168=2023,K168*$P$2,C168=2024,K168*$P$3)</f>
        <v>2.25</v>
      </c>
    </row>
    <row r="169" spans="1:14">
      <c r="A169" s="2">
        <v>168</v>
      </c>
      <c r="B169" s="3">
        <v>44981</v>
      </c>
      <c r="C169" s="4">
        <f t="shared" si="6"/>
        <v>2023</v>
      </c>
      <c r="D169" s="4" t="s">
        <v>215</v>
      </c>
      <c r="E169" s="4" t="s">
        <v>16</v>
      </c>
      <c r="F169" s="4">
        <v>53</v>
      </c>
      <c r="G169" s="4" t="str" cm="1">
        <f t="array" ref="G169">_xlfn.IFS(F169&lt;30,"Young Adult",F169&lt;50,"Adult",F169&gt;=50,"Senior")</f>
        <v>Senior</v>
      </c>
      <c r="H169" s="4" t="s">
        <v>21</v>
      </c>
      <c r="I169" s="4">
        <v>1</v>
      </c>
      <c r="J169" s="11">
        <v>300</v>
      </c>
      <c r="K169" s="13">
        <f>I169*J169</f>
        <v>300</v>
      </c>
      <c r="L169" s="19">
        <f t="shared" si="7"/>
        <v>4.5</v>
      </c>
      <c r="M169" s="19">
        <f t="shared" si="8"/>
        <v>6</v>
      </c>
      <c r="N169" s="13" cm="1">
        <f t="array" ref="N169">_xlfn.IFS(C169=2023,K169*$P$2,C169=2024,K169*$P$3)</f>
        <v>4.5</v>
      </c>
    </row>
    <row r="170" spans="1:14">
      <c r="A170" s="2">
        <v>169</v>
      </c>
      <c r="B170" s="3">
        <v>45247</v>
      </c>
      <c r="C170" s="4">
        <f t="shared" si="6"/>
        <v>2023</v>
      </c>
      <c r="D170" s="4" t="s">
        <v>216</v>
      </c>
      <c r="E170" s="4" t="s">
        <v>16</v>
      </c>
      <c r="F170" s="4">
        <v>18</v>
      </c>
      <c r="G170" s="4" t="str" cm="1">
        <f t="array" ref="G170">_xlfn.IFS(F170&lt;30,"Young Adult",F170&lt;50,"Adult",F170&gt;=50,"Senior")</f>
        <v>Young Adult</v>
      </c>
      <c r="H170" s="4" t="s">
        <v>17</v>
      </c>
      <c r="I170" s="4">
        <v>3</v>
      </c>
      <c r="J170" s="11">
        <v>500</v>
      </c>
      <c r="K170" s="13">
        <f>I170*J170</f>
        <v>1500</v>
      </c>
      <c r="L170" s="19">
        <f t="shared" si="7"/>
        <v>22.5</v>
      </c>
      <c r="M170" s="19">
        <f t="shared" si="8"/>
        <v>30</v>
      </c>
      <c r="N170" s="13" cm="1">
        <f t="array" ref="N170">_xlfn.IFS(C170=2023,K170*$P$2,C170=2024,K170*$P$3)</f>
        <v>22.5</v>
      </c>
    </row>
    <row r="171" spans="1:14">
      <c r="A171" s="2">
        <v>170</v>
      </c>
      <c r="B171" s="3">
        <v>45079</v>
      </c>
      <c r="C171" s="4">
        <f t="shared" si="6"/>
        <v>2023</v>
      </c>
      <c r="D171" s="4" t="s">
        <v>217</v>
      </c>
      <c r="E171" s="4" t="s">
        <v>20</v>
      </c>
      <c r="F171" s="4">
        <v>25</v>
      </c>
      <c r="G171" s="4" t="str" cm="1">
        <f t="array" ref="G171">_xlfn.IFS(F171&lt;30,"Young Adult",F171&lt;50,"Adult",F171&gt;=50,"Senior")</f>
        <v>Young Adult</v>
      </c>
      <c r="H171" s="4" t="s">
        <v>21</v>
      </c>
      <c r="I171" s="4">
        <v>2</v>
      </c>
      <c r="J171" s="11">
        <v>25</v>
      </c>
      <c r="K171" s="13">
        <f>I171*J171</f>
        <v>50</v>
      </c>
      <c r="L171" s="19">
        <f t="shared" si="7"/>
        <v>0.75</v>
      </c>
      <c r="M171" s="19">
        <f t="shared" si="8"/>
        <v>1</v>
      </c>
      <c r="N171" s="13" cm="1">
        <f t="array" ref="N171">_xlfn.IFS(C171=2023,K171*$P$2,C171=2024,K171*$P$3)</f>
        <v>0.75</v>
      </c>
    </row>
    <row r="172" spans="1:14">
      <c r="A172" s="2">
        <v>171</v>
      </c>
      <c r="B172" s="3">
        <v>45254</v>
      </c>
      <c r="C172" s="4">
        <f t="shared" si="6"/>
        <v>2023</v>
      </c>
      <c r="D172" s="4" t="s">
        <v>218</v>
      </c>
      <c r="E172" s="4" t="s">
        <v>20</v>
      </c>
      <c r="F172" s="4">
        <v>52</v>
      </c>
      <c r="G172" s="4" t="str" cm="1">
        <f t="array" ref="G172">_xlfn.IFS(F172&lt;30,"Young Adult",F172&lt;50,"Adult",F172&gt;=50,"Senior")</f>
        <v>Senior</v>
      </c>
      <c r="H172" s="4" t="s">
        <v>21</v>
      </c>
      <c r="I172" s="4">
        <v>3</v>
      </c>
      <c r="J172" s="11">
        <v>300</v>
      </c>
      <c r="K172" s="13">
        <f>I172*J172</f>
        <v>900</v>
      </c>
      <c r="L172" s="19">
        <f t="shared" si="7"/>
        <v>13.5</v>
      </c>
      <c r="M172" s="19">
        <f t="shared" si="8"/>
        <v>18</v>
      </c>
      <c r="N172" s="13" cm="1">
        <f t="array" ref="N172">_xlfn.IFS(C172=2023,K172*$P$2,C172=2024,K172*$P$3)</f>
        <v>13.5</v>
      </c>
    </row>
    <row r="173" spans="1:14">
      <c r="A173" s="2">
        <v>172</v>
      </c>
      <c r="B173" s="3">
        <v>45186</v>
      </c>
      <c r="C173" s="4">
        <f t="shared" si="6"/>
        <v>2023</v>
      </c>
      <c r="D173" s="4" t="s">
        <v>219</v>
      </c>
      <c r="E173" s="4" t="s">
        <v>16</v>
      </c>
      <c r="F173" s="4">
        <v>32</v>
      </c>
      <c r="G173" s="4" t="str" cm="1">
        <f t="array" ref="G173">_xlfn.IFS(F173&lt;30,"Young Adult",F173&lt;50,"Adult",F173&gt;=50,"Senior")</f>
        <v>Adult</v>
      </c>
      <c r="H173" s="4" t="s">
        <v>17</v>
      </c>
      <c r="I173" s="4">
        <v>2</v>
      </c>
      <c r="J173" s="11">
        <v>25</v>
      </c>
      <c r="K173" s="13">
        <f>I173*J173</f>
        <v>50</v>
      </c>
      <c r="L173" s="19">
        <f t="shared" si="7"/>
        <v>0.75</v>
      </c>
      <c r="M173" s="19">
        <f t="shared" si="8"/>
        <v>1</v>
      </c>
      <c r="N173" s="13" cm="1">
        <f t="array" ref="N173">_xlfn.IFS(C173=2023,K173*$P$2,C173=2024,K173*$P$3)</f>
        <v>0.75</v>
      </c>
    </row>
    <row r="174" spans="1:14">
      <c r="A174" s="2">
        <v>173</v>
      </c>
      <c r="B174" s="3">
        <v>45238</v>
      </c>
      <c r="C174" s="4">
        <f t="shared" si="6"/>
        <v>2023</v>
      </c>
      <c r="D174" s="4" t="s">
        <v>220</v>
      </c>
      <c r="E174" s="4" t="s">
        <v>16</v>
      </c>
      <c r="F174" s="4">
        <v>64</v>
      </c>
      <c r="G174" s="4" t="str" cm="1">
        <f t="array" ref="G174">_xlfn.IFS(F174&lt;30,"Young Adult",F174&lt;50,"Adult",F174&gt;=50,"Senior")</f>
        <v>Senior</v>
      </c>
      <c r="H174" s="4" t="s">
        <v>24</v>
      </c>
      <c r="I174" s="4">
        <v>4</v>
      </c>
      <c r="J174" s="11">
        <v>30</v>
      </c>
      <c r="K174" s="13">
        <f>I174*J174</f>
        <v>120</v>
      </c>
      <c r="L174" s="19">
        <f t="shared" si="7"/>
        <v>1.7999999999999998</v>
      </c>
      <c r="M174" s="19">
        <f t="shared" si="8"/>
        <v>2.4</v>
      </c>
      <c r="N174" s="13" cm="1">
        <f t="array" ref="N174">_xlfn.IFS(C174=2023,K174*$P$2,C174=2024,K174*$P$3)</f>
        <v>1.7999999999999998</v>
      </c>
    </row>
    <row r="175" spans="1:14">
      <c r="A175" s="2">
        <v>174</v>
      </c>
      <c r="B175" s="3">
        <v>45028</v>
      </c>
      <c r="C175" s="4">
        <f t="shared" si="6"/>
        <v>2023</v>
      </c>
      <c r="D175" s="4" t="s">
        <v>221</v>
      </c>
      <c r="E175" s="4" t="s">
        <v>20</v>
      </c>
      <c r="F175" s="4">
        <v>39</v>
      </c>
      <c r="G175" s="4" t="str" cm="1">
        <f t="array" ref="G175">_xlfn.IFS(F175&lt;30,"Young Adult",F175&lt;50,"Adult",F175&gt;=50,"Senior")</f>
        <v>Adult</v>
      </c>
      <c r="H175" s="4" t="s">
        <v>17</v>
      </c>
      <c r="I175" s="4">
        <v>1</v>
      </c>
      <c r="J175" s="11">
        <v>300</v>
      </c>
      <c r="K175" s="13">
        <f>I175*J175</f>
        <v>300</v>
      </c>
      <c r="L175" s="19">
        <f t="shared" si="7"/>
        <v>4.5</v>
      </c>
      <c r="M175" s="19">
        <f t="shared" si="8"/>
        <v>6</v>
      </c>
      <c r="N175" s="13" cm="1">
        <f t="array" ref="N175">_xlfn.IFS(C175=2023,K175*$P$2,C175=2024,K175*$P$3)</f>
        <v>4.5</v>
      </c>
    </row>
    <row r="176" spans="1:14">
      <c r="A176" s="2">
        <v>175</v>
      </c>
      <c r="B176" s="3">
        <v>45005</v>
      </c>
      <c r="C176" s="4">
        <f t="shared" si="6"/>
        <v>2023</v>
      </c>
      <c r="D176" s="4" t="s">
        <v>222</v>
      </c>
      <c r="E176" s="4" t="s">
        <v>20</v>
      </c>
      <c r="F176" s="4">
        <v>31</v>
      </c>
      <c r="G176" s="4" t="str" cm="1">
        <f t="array" ref="G176">_xlfn.IFS(F176&lt;30,"Young Adult",F176&lt;50,"Adult",F176&gt;=50,"Senior")</f>
        <v>Adult</v>
      </c>
      <c r="H176" s="4" t="s">
        <v>24</v>
      </c>
      <c r="I176" s="4">
        <v>4</v>
      </c>
      <c r="J176" s="11">
        <v>25</v>
      </c>
      <c r="K176" s="13">
        <f>I176*J176</f>
        <v>100</v>
      </c>
      <c r="L176" s="19">
        <f t="shared" si="7"/>
        <v>1.5</v>
      </c>
      <c r="M176" s="19">
        <f t="shared" si="8"/>
        <v>2</v>
      </c>
      <c r="N176" s="13" cm="1">
        <f t="array" ref="N176">_xlfn.IFS(C176=2023,K176*$P$2,C176=2024,K176*$P$3)</f>
        <v>1.5</v>
      </c>
    </row>
    <row r="177" spans="1:14">
      <c r="A177" s="2">
        <v>176</v>
      </c>
      <c r="B177" s="3">
        <v>45118</v>
      </c>
      <c r="C177" s="4">
        <f t="shared" si="6"/>
        <v>2023</v>
      </c>
      <c r="D177" s="4" t="s">
        <v>223</v>
      </c>
      <c r="E177" s="4" t="s">
        <v>20</v>
      </c>
      <c r="F177" s="4">
        <v>43</v>
      </c>
      <c r="G177" s="4" t="str" cm="1">
        <f t="array" ref="G177">_xlfn.IFS(F177&lt;30,"Young Adult",F177&lt;50,"Adult",F177&gt;=50,"Senior")</f>
        <v>Adult</v>
      </c>
      <c r="H177" s="4" t="s">
        <v>17</v>
      </c>
      <c r="I177" s="4">
        <v>2</v>
      </c>
      <c r="J177" s="11">
        <v>50</v>
      </c>
      <c r="K177" s="13">
        <f>I177*J177</f>
        <v>100</v>
      </c>
      <c r="L177" s="19">
        <f t="shared" si="7"/>
        <v>1.5</v>
      </c>
      <c r="M177" s="19">
        <f t="shared" si="8"/>
        <v>2</v>
      </c>
      <c r="N177" s="13" cm="1">
        <f t="array" ref="N177">_xlfn.IFS(C177=2023,K177*$P$2,C177=2024,K177*$P$3)</f>
        <v>1.5</v>
      </c>
    </row>
    <row r="178" spans="1:14">
      <c r="A178" s="2">
        <v>177</v>
      </c>
      <c r="B178" s="3">
        <v>45009</v>
      </c>
      <c r="C178" s="4">
        <f t="shared" si="6"/>
        <v>2023</v>
      </c>
      <c r="D178" s="4" t="s">
        <v>224</v>
      </c>
      <c r="E178" s="4" t="s">
        <v>16</v>
      </c>
      <c r="F178" s="4">
        <v>45</v>
      </c>
      <c r="G178" s="4" t="str" cm="1">
        <f t="array" ref="G178">_xlfn.IFS(F178&lt;30,"Young Adult",F178&lt;50,"Adult",F178&gt;=50,"Senior")</f>
        <v>Adult</v>
      </c>
      <c r="H178" s="4" t="s">
        <v>17</v>
      </c>
      <c r="I178" s="4">
        <v>2</v>
      </c>
      <c r="J178" s="11">
        <v>50</v>
      </c>
      <c r="K178" s="13">
        <f>I178*J178</f>
        <v>100</v>
      </c>
      <c r="L178" s="19">
        <f t="shared" si="7"/>
        <v>1.5</v>
      </c>
      <c r="M178" s="19">
        <f t="shared" si="8"/>
        <v>2</v>
      </c>
      <c r="N178" s="13" cm="1">
        <f t="array" ref="N178">_xlfn.IFS(C178=2023,K178*$P$2,C178=2024,K178*$P$3)</f>
        <v>1.5</v>
      </c>
    </row>
    <row r="179" spans="1:14">
      <c r="A179" s="2">
        <v>178</v>
      </c>
      <c r="B179" s="3">
        <v>45203</v>
      </c>
      <c r="C179" s="4">
        <f t="shared" si="6"/>
        <v>2023</v>
      </c>
      <c r="D179" s="4" t="s">
        <v>225</v>
      </c>
      <c r="E179" s="4" t="s">
        <v>16</v>
      </c>
      <c r="F179" s="4">
        <v>40</v>
      </c>
      <c r="G179" s="4" t="str" cm="1">
        <f t="array" ref="G179">_xlfn.IFS(F179&lt;30,"Young Adult",F179&lt;50,"Adult",F179&gt;=50,"Senior")</f>
        <v>Adult</v>
      </c>
      <c r="H179" s="4" t="s">
        <v>21</v>
      </c>
      <c r="I179" s="4">
        <v>2</v>
      </c>
      <c r="J179" s="11">
        <v>30</v>
      </c>
      <c r="K179" s="13">
        <f>I179*J179</f>
        <v>60</v>
      </c>
      <c r="L179" s="19">
        <f t="shared" si="7"/>
        <v>0.89999999999999991</v>
      </c>
      <c r="M179" s="19">
        <f t="shared" si="8"/>
        <v>1.2</v>
      </c>
      <c r="N179" s="13" cm="1">
        <f t="array" ref="N179">_xlfn.IFS(C179=2023,K179*$P$2,C179=2024,K179*$P$3)</f>
        <v>0.89999999999999991</v>
      </c>
    </row>
    <row r="180" spans="1:14">
      <c r="A180" s="2">
        <v>179</v>
      </c>
      <c r="B180" s="3">
        <v>45198</v>
      </c>
      <c r="C180" s="4">
        <f t="shared" si="6"/>
        <v>2023</v>
      </c>
      <c r="D180" s="4" t="s">
        <v>226</v>
      </c>
      <c r="E180" s="4" t="s">
        <v>16</v>
      </c>
      <c r="F180" s="4">
        <v>31</v>
      </c>
      <c r="G180" s="4" t="str" cm="1">
        <f t="array" ref="G180">_xlfn.IFS(F180&lt;30,"Young Adult",F180&lt;50,"Adult",F180&gt;=50,"Senior")</f>
        <v>Adult</v>
      </c>
      <c r="H180" s="4" t="s">
        <v>24</v>
      </c>
      <c r="I180" s="4">
        <v>1</v>
      </c>
      <c r="J180" s="11">
        <v>300</v>
      </c>
      <c r="K180" s="13">
        <f>I180*J180</f>
        <v>300</v>
      </c>
      <c r="L180" s="19">
        <f t="shared" si="7"/>
        <v>4.5</v>
      </c>
      <c r="M180" s="19">
        <f t="shared" si="8"/>
        <v>6</v>
      </c>
      <c r="N180" s="13" cm="1">
        <f t="array" ref="N180">_xlfn.IFS(C180=2023,K180*$P$2,C180=2024,K180*$P$3)</f>
        <v>4.5</v>
      </c>
    </row>
    <row r="181" spans="1:14">
      <c r="A181" s="2">
        <v>180</v>
      </c>
      <c r="B181" s="3">
        <v>44927</v>
      </c>
      <c r="C181" s="4">
        <f t="shared" si="6"/>
        <v>2023</v>
      </c>
      <c r="D181" s="4" t="s">
        <v>227</v>
      </c>
      <c r="E181" s="4" t="s">
        <v>16</v>
      </c>
      <c r="F181" s="4">
        <v>41</v>
      </c>
      <c r="G181" s="4" t="str" cm="1">
        <f t="array" ref="G181">_xlfn.IFS(F181&lt;30,"Young Adult",F181&lt;50,"Adult",F181&gt;=50,"Senior")</f>
        <v>Adult</v>
      </c>
      <c r="H181" s="4" t="s">
        <v>21</v>
      </c>
      <c r="I181" s="4">
        <v>3</v>
      </c>
      <c r="J181" s="11">
        <v>300</v>
      </c>
      <c r="K181" s="13">
        <f>I181*J181</f>
        <v>900</v>
      </c>
      <c r="L181" s="19">
        <f t="shared" si="7"/>
        <v>13.5</v>
      </c>
      <c r="M181" s="19">
        <f t="shared" si="8"/>
        <v>18</v>
      </c>
      <c r="N181" s="13" cm="1">
        <f t="array" ref="N181">_xlfn.IFS(C181=2023,K181*$P$2,C181=2024,K181*$P$3)</f>
        <v>13.5</v>
      </c>
    </row>
    <row r="182" spans="1:14">
      <c r="A182" s="2">
        <v>181</v>
      </c>
      <c r="B182" s="3">
        <v>45233</v>
      </c>
      <c r="C182" s="4">
        <f t="shared" si="6"/>
        <v>2023</v>
      </c>
      <c r="D182" s="4" t="s">
        <v>228</v>
      </c>
      <c r="E182" s="4" t="s">
        <v>16</v>
      </c>
      <c r="F182" s="4">
        <v>19</v>
      </c>
      <c r="G182" s="4" t="str" cm="1">
        <f t="array" ref="G182">_xlfn.IFS(F182&lt;30,"Young Adult",F182&lt;50,"Adult",F182&gt;=50,"Senior")</f>
        <v>Young Adult</v>
      </c>
      <c r="H182" s="4" t="s">
        <v>24</v>
      </c>
      <c r="I182" s="4">
        <v>4</v>
      </c>
      <c r="J182" s="11">
        <v>300</v>
      </c>
      <c r="K182" s="13">
        <f>I182*J182</f>
        <v>1200</v>
      </c>
      <c r="L182" s="19">
        <f t="shared" si="7"/>
        <v>18</v>
      </c>
      <c r="M182" s="19">
        <f t="shared" si="8"/>
        <v>24</v>
      </c>
      <c r="N182" s="13" cm="1">
        <f t="array" ref="N182">_xlfn.IFS(C182=2023,K182*$P$2,C182=2024,K182*$P$3)</f>
        <v>18</v>
      </c>
    </row>
    <row r="183" spans="1:14">
      <c r="A183" s="2">
        <v>182</v>
      </c>
      <c r="B183" s="3">
        <v>45092</v>
      </c>
      <c r="C183" s="4">
        <f t="shared" si="6"/>
        <v>2023</v>
      </c>
      <c r="D183" s="4" t="s">
        <v>229</v>
      </c>
      <c r="E183" s="4" t="s">
        <v>16</v>
      </c>
      <c r="F183" s="4">
        <v>62</v>
      </c>
      <c r="G183" s="4" t="str" cm="1">
        <f t="array" ref="G183">_xlfn.IFS(F183&lt;30,"Young Adult",F183&lt;50,"Adult",F183&gt;=50,"Senior")</f>
        <v>Senior</v>
      </c>
      <c r="H183" s="4" t="s">
        <v>17</v>
      </c>
      <c r="I183" s="4">
        <v>4</v>
      </c>
      <c r="J183" s="11">
        <v>30</v>
      </c>
      <c r="K183" s="13">
        <f>I183*J183</f>
        <v>120</v>
      </c>
      <c r="L183" s="19">
        <f t="shared" si="7"/>
        <v>1.7999999999999998</v>
      </c>
      <c r="M183" s="19">
        <f t="shared" si="8"/>
        <v>2.4</v>
      </c>
      <c r="N183" s="13" cm="1">
        <f t="array" ref="N183">_xlfn.IFS(C183=2023,K183*$P$2,C183=2024,K183*$P$3)</f>
        <v>1.7999999999999998</v>
      </c>
    </row>
    <row r="184" spans="1:14">
      <c r="A184" s="2">
        <v>183</v>
      </c>
      <c r="B184" s="3">
        <v>45177</v>
      </c>
      <c r="C184" s="4">
        <f t="shared" si="6"/>
        <v>2023</v>
      </c>
      <c r="D184" s="4" t="s">
        <v>230</v>
      </c>
      <c r="E184" s="4" t="s">
        <v>20</v>
      </c>
      <c r="F184" s="4">
        <v>43</v>
      </c>
      <c r="G184" s="4" t="str" cm="1">
        <f t="array" ref="G184">_xlfn.IFS(F184&lt;30,"Young Adult",F184&lt;50,"Adult",F184&gt;=50,"Senior")</f>
        <v>Adult</v>
      </c>
      <c r="H184" s="4" t="s">
        <v>17</v>
      </c>
      <c r="I184" s="4">
        <v>3</v>
      </c>
      <c r="J184" s="11">
        <v>300</v>
      </c>
      <c r="K184" s="13">
        <f>I184*J184</f>
        <v>900</v>
      </c>
      <c r="L184" s="19">
        <f t="shared" si="7"/>
        <v>13.5</v>
      </c>
      <c r="M184" s="19">
        <f t="shared" si="8"/>
        <v>18</v>
      </c>
      <c r="N184" s="13" cm="1">
        <f t="array" ref="N184">_xlfn.IFS(C184=2023,K184*$P$2,C184=2024,K184*$P$3)</f>
        <v>13.5</v>
      </c>
    </row>
    <row r="185" spans="1:14">
      <c r="A185" s="2">
        <v>184</v>
      </c>
      <c r="B185" s="3">
        <v>44936</v>
      </c>
      <c r="C185" s="4">
        <f t="shared" si="6"/>
        <v>2023</v>
      </c>
      <c r="D185" s="4" t="s">
        <v>231</v>
      </c>
      <c r="E185" s="4" t="s">
        <v>16</v>
      </c>
      <c r="F185" s="4">
        <v>31</v>
      </c>
      <c r="G185" s="4" t="str" cm="1">
        <f t="array" ref="G185">_xlfn.IFS(F185&lt;30,"Young Adult",F185&lt;50,"Adult",F185&gt;=50,"Senior")</f>
        <v>Adult</v>
      </c>
      <c r="H185" s="4" t="s">
        <v>24</v>
      </c>
      <c r="I185" s="4">
        <v>4</v>
      </c>
      <c r="J185" s="11">
        <v>50</v>
      </c>
      <c r="K185" s="13">
        <f>I185*J185</f>
        <v>200</v>
      </c>
      <c r="L185" s="19">
        <f t="shared" si="7"/>
        <v>3</v>
      </c>
      <c r="M185" s="19">
        <f t="shared" si="8"/>
        <v>4</v>
      </c>
      <c r="N185" s="13" cm="1">
        <f t="array" ref="N185">_xlfn.IFS(C185=2023,K185*$P$2,C185=2024,K185*$P$3)</f>
        <v>3</v>
      </c>
    </row>
    <row r="186" spans="1:14">
      <c r="A186" s="2">
        <v>185</v>
      </c>
      <c r="B186" s="3">
        <v>44984</v>
      </c>
      <c r="C186" s="4">
        <f t="shared" si="6"/>
        <v>2023</v>
      </c>
      <c r="D186" s="4" t="s">
        <v>232</v>
      </c>
      <c r="E186" s="4" t="s">
        <v>16</v>
      </c>
      <c r="F186" s="4">
        <v>24</v>
      </c>
      <c r="G186" s="4" t="str" cm="1">
        <f t="array" ref="G186">_xlfn.IFS(F186&lt;30,"Young Adult",F186&lt;50,"Adult",F186&gt;=50,"Senior")</f>
        <v>Young Adult</v>
      </c>
      <c r="H186" s="4" t="s">
        <v>21</v>
      </c>
      <c r="I186" s="4">
        <v>1</v>
      </c>
      <c r="J186" s="11">
        <v>25</v>
      </c>
      <c r="K186" s="13">
        <f>I186*J186</f>
        <v>25</v>
      </c>
      <c r="L186" s="19">
        <f t="shared" si="7"/>
        <v>0.375</v>
      </c>
      <c r="M186" s="19">
        <f t="shared" si="8"/>
        <v>0.5</v>
      </c>
      <c r="N186" s="13" cm="1">
        <f t="array" ref="N186">_xlfn.IFS(C186=2023,K186*$P$2,C186=2024,K186*$P$3)</f>
        <v>0.375</v>
      </c>
    </row>
    <row r="187" spans="1:14">
      <c r="A187" s="2">
        <v>186</v>
      </c>
      <c r="B187" s="3">
        <v>45112</v>
      </c>
      <c r="C187" s="4">
        <f t="shared" si="6"/>
        <v>2023</v>
      </c>
      <c r="D187" s="4" t="s">
        <v>233</v>
      </c>
      <c r="E187" s="4" t="s">
        <v>16</v>
      </c>
      <c r="F187" s="4">
        <v>20</v>
      </c>
      <c r="G187" s="4" t="str" cm="1">
        <f t="array" ref="G187">_xlfn.IFS(F187&lt;30,"Young Adult",F187&lt;50,"Adult",F187&gt;=50,"Senior")</f>
        <v>Young Adult</v>
      </c>
      <c r="H187" s="4" t="s">
        <v>21</v>
      </c>
      <c r="I187" s="4">
        <v>4</v>
      </c>
      <c r="J187" s="11">
        <v>50</v>
      </c>
      <c r="K187" s="13">
        <f>I187*J187</f>
        <v>200</v>
      </c>
      <c r="L187" s="19">
        <f t="shared" si="7"/>
        <v>3</v>
      </c>
      <c r="M187" s="19">
        <f t="shared" si="8"/>
        <v>4</v>
      </c>
      <c r="N187" s="13" cm="1">
        <f t="array" ref="N187">_xlfn.IFS(C187=2023,K187*$P$2,C187=2024,K187*$P$3)</f>
        <v>3</v>
      </c>
    </row>
    <row r="188" spans="1:14">
      <c r="A188" s="2">
        <v>187</v>
      </c>
      <c r="B188" s="3">
        <v>45084</v>
      </c>
      <c r="C188" s="4">
        <f t="shared" si="6"/>
        <v>2023</v>
      </c>
      <c r="D188" s="4" t="s">
        <v>234</v>
      </c>
      <c r="E188" s="4" t="s">
        <v>20</v>
      </c>
      <c r="F188" s="4">
        <v>64</v>
      </c>
      <c r="G188" s="4" t="str" cm="1">
        <f t="array" ref="G188">_xlfn.IFS(F188&lt;30,"Young Adult",F188&lt;50,"Adult",F188&gt;=50,"Senior")</f>
        <v>Senior</v>
      </c>
      <c r="H188" s="4" t="s">
        <v>21</v>
      </c>
      <c r="I188" s="4">
        <v>2</v>
      </c>
      <c r="J188" s="11">
        <v>50</v>
      </c>
      <c r="K188" s="13">
        <f>I188*J188</f>
        <v>100</v>
      </c>
      <c r="L188" s="19">
        <f t="shared" si="7"/>
        <v>1.5</v>
      </c>
      <c r="M188" s="19">
        <f t="shared" si="8"/>
        <v>2</v>
      </c>
      <c r="N188" s="13" cm="1">
        <f t="array" ref="N188">_xlfn.IFS(C188=2023,K188*$P$2,C188=2024,K188*$P$3)</f>
        <v>1.5</v>
      </c>
    </row>
    <row r="189" spans="1:14">
      <c r="A189" s="2">
        <v>188</v>
      </c>
      <c r="B189" s="3">
        <v>45049</v>
      </c>
      <c r="C189" s="4">
        <f t="shared" si="6"/>
        <v>2023</v>
      </c>
      <c r="D189" s="4" t="s">
        <v>235</v>
      </c>
      <c r="E189" s="4" t="s">
        <v>16</v>
      </c>
      <c r="F189" s="4">
        <v>40</v>
      </c>
      <c r="G189" s="4" t="str" cm="1">
        <f t="array" ref="G189">_xlfn.IFS(F189&lt;30,"Young Adult",F189&lt;50,"Adult",F189&gt;=50,"Senior")</f>
        <v>Adult</v>
      </c>
      <c r="H189" s="4" t="s">
        <v>21</v>
      </c>
      <c r="I189" s="4">
        <v>3</v>
      </c>
      <c r="J189" s="11">
        <v>25</v>
      </c>
      <c r="K189" s="13">
        <f>I189*J189</f>
        <v>75</v>
      </c>
      <c r="L189" s="19">
        <f t="shared" si="7"/>
        <v>1.125</v>
      </c>
      <c r="M189" s="19">
        <f t="shared" si="8"/>
        <v>1.5</v>
      </c>
      <c r="N189" s="13" cm="1">
        <f t="array" ref="N189">_xlfn.IFS(C189=2023,K189*$P$2,C189=2024,K189*$P$3)</f>
        <v>1.125</v>
      </c>
    </row>
    <row r="190" spans="1:14">
      <c r="A190" s="2">
        <v>189</v>
      </c>
      <c r="B190" s="3">
        <v>44956</v>
      </c>
      <c r="C190" s="4">
        <f t="shared" si="6"/>
        <v>2023</v>
      </c>
      <c r="D190" s="4" t="s">
        <v>236</v>
      </c>
      <c r="E190" s="4" t="s">
        <v>16</v>
      </c>
      <c r="F190" s="4">
        <v>63</v>
      </c>
      <c r="G190" s="4" t="str" cm="1">
        <f t="array" ref="G190">_xlfn.IFS(F190&lt;30,"Young Adult",F190&lt;50,"Adult",F190&gt;=50,"Senior")</f>
        <v>Senior</v>
      </c>
      <c r="H190" s="4" t="s">
        <v>17</v>
      </c>
      <c r="I190" s="4">
        <v>1</v>
      </c>
      <c r="J190" s="11">
        <v>50</v>
      </c>
      <c r="K190" s="13">
        <f>I190*J190</f>
        <v>50</v>
      </c>
      <c r="L190" s="19">
        <f t="shared" si="7"/>
        <v>0.75</v>
      </c>
      <c r="M190" s="19">
        <f t="shared" si="8"/>
        <v>1</v>
      </c>
      <c r="N190" s="13" cm="1">
        <f t="array" ref="N190">_xlfn.IFS(C190=2023,K190*$P$2,C190=2024,K190*$P$3)</f>
        <v>0.75</v>
      </c>
    </row>
    <row r="191" spans="1:14">
      <c r="A191" s="2">
        <v>190</v>
      </c>
      <c r="B191" s="3">
        <v>45050</v>
      </c>
      <c r="C191" s="4">
        <f t="shared" si="6"/>
        <v>2023</v>
      </c>
      <c r="D191" s="4" t="s">
        <v>237</v>
      </c>
      <c r="E191" s="4" t="s">
        <v>20</v>
      </c>
      <c r="F191" s="4">
        <v>60</v>
      </c>
      <c r="G191" s="4" t="str" cm="1">
        <f t="array" ref="G191">_xlfn.IFS(F191&lt;30,"Young Adult",F191&lt;50,"Adult",F191&gt;=50,"Senior")</f>
        <v>Senior</v>
      </c>
      <c r="H191" s="4" t="s">
        <v>17</v>
      </c>
      <c r="I191" s="4">
        <v>3</v>
      </c>
      <c r="J191" s="11">
        <v>30</v>
      </c>
      <c r="K191" s="13">
        <f>I191*J191</f>
        <v>90</v>
      </c>
      <c r="L191" s="19">
        <f t="shared" si="7"/>
        <v>1.3499999999999999</v>
      </c>
      <c r="M191" s="19">
        <f t="shared" si="8"/>
        <v>1.8</v>
      </c>
      <c r="N191" s="13" cm="1">
        <f t="array" ref="N191">_xlfn.IFS(C191=2023,K191*$P$2,C191=2024,K191*$P$3)</f>
        <v>1.3499999999999999</v>
      </c>
    </row>
    <row r="192" spans="1:14">
      <c r="A192" s="2">
        <v>191</v>
      </c>
      <c r="B192" s="3">
        <v>45217</v>
      </c>
      <c r="C192" s="4">
        <f t="shared" si="6"/>
        <v>2023</v>
      </c>
      <c r="D192" s="4" t="s">
        <v>238</v>
      </c>
      <c r="E192" s="4" t="s">
        <v>16</v>
      </c>
      <c r="F192" s="4">
        <v>64</v>
      </c>
      <c r="G192" s="4" t="str" cm="1">
        <f t="array" ref="G192">_xlfn.IFS(F192&lt;30,"Young Adult",F192&lt;50,"Adult",F192&gt;=50,"Senior")</f>
        <v>Senior</v>
      </c>
      <c r="H192" s="4" t="s">
        <v>17</v>
      </c>
      <c r="I192" s="4">
        <v>1</v>
      </c>
      <c r="J192" s="11">
        <v>25</v>
      </c>
      <c r="K192" s="13">
        <f>I192*J192</f>
        <v>25</v>
      </c>
      <c r="L192" s="19">
        <f t="shared" si="7"/>
        <v>0.375</v>
      </c>
      <c r="M192" s="19">
        <f t="shared" si="8"/>
        <v>0.5</v>
      </c>
      <c r="N192" s="13" cm="1">
        <f t="array" ref="N192">_xlfn.IFS(C192=2023,K192*$P$2,C192=2024,K192*$P$3)</f>
        <v>0.375</v>
      </c>
    </row>
    <row r="193" spans="1:14">
      <c r="A193" s="2">
        <v>192</v>
      </c>
      <c r="B193" s="3">
        <v>44967</v>
      </c>
      <c r="C193" s="4">
        <f t="shared" si="6"/>
        <v>2023</v>
      </c>
      <c r="D193" s="4" t="s">
        <v>239</v>
      </c>
      <c r="E193" s="4" t="s">
        <v>16</v>
      </c>
      <c r="F193" s="4">
        <v>62</v>
      </c>
      <c r="G193" s="4" t="str" cm="1">
        <f t="array" ref="G193">_xlfn.IFS(F193&lt;30,"Young Adult",F193&lt;50,"Adult",F193&gt;=50,"Senior")</f>
        <v>Senior</v>
      </c>
      <c r="H193" s="4" t="s">
        <v>17</v>
      </c>
      <c r="I193" s="4">
        <v>2</v>
      </c>
      <c r="J193" s="11">
        <v>50</v>
      </c>
      <c r="K193" s="13">
        <f>I193*J193</f>
        <v>100</v>
      </c>
      <c r="L193" s="19">
        <f t="shared" si="7"/>
        <v>1.5</v>
      </c>
      <c r="M193" s="19">
        <f t="shared" si="8"/>
        <v>2</v>
      </c>
      <c r="N193" s="13" cm="1">
        <f t="array" ref="N193">_xlfn.IFS(C193=2023,K193*$P$2,C193=2024,K193*$P$3)</f>
        <v>1.5</v>
      </c>
    </row>
    <row r="194" spans="1:14">
      <c r="A194" s="2">
        <v>193</v>
      </c>
      <c r="B194" s="3">
        <v>44970</v>
      </c>
      <c r="C194" s="4">
        <f t="shared" si="6"/>
        <v>2023</v>
      </c>
      <c r="D194" s="4" t="s">
        <v>240</v>
      </c>
      <c r="E194" s="4" t="s">
        <v>16</v>
      </c>
      <c r="F194" s="4">
        <v>35</v>
      </c>
      <c r="G194" s="4" t="str" cm="1">
        <f t="array" ref="G194">_xlfn.IFS(F194&lt;30,"Young Adult",F194&lt;50,"Adult",F194&gt;=50,"Senior")</f>
        <v>Adult</v>
      </c>
      <c r="H194" s="4" t="s">
        <v>17</v>
      </c>
      <c r="I194" s="4">
        <v>3</v>
      </c>
      <c r="J194" s="11">
        <v>500</v>
      </c>
      <c r="K194" s="13">
        <f>I194*J194</f>
        <v>1500</v>
      </c>
      <c r="L194" s="19">
        <f t="shared" si="7"/>
        <v>22.5</v>
      </c>
      <c r="M194" s="19">
        <f t="shared" si="8"/>
        <v>30</v>
      </c>
      <c r="N194" s="13" cm="1">
        <f t="array" ref="N194">_xlfn.IFS(C194=2023,K194*$P$2,C194=2024,K194*$P$3)</f>
        <v>22.5</v>
      </c>
    </row>
    <row r="195" spans="1:14">
      <c r="A195" s="2">
        <v>194</v>
      </c>
      <c r="B195" s="3">
        <v>45175</v>
      </c>
      <c r="C195" s="4">
        <f t="shared" ref="C195:C258" si="9">YEAR(B195)</f>
        <v>2023</v>
      </c>
      <c r="D195" s="4" t="s">
        <v>241</v>
      </c>
      <c r="E195" s="4" t="s">
        <v>16</v>
      </c>
      <c r="F195" s="4">
        <v>55</v>
      </c>
      <c r="G195" s="4" t="str" cm="1">
        <f t="array" ref="G195">_xlfn.IFS(F195&lt;30,"Young Adult",F195&lt;50,"Adult",F195&gt;=50,"Senior")</f>
        <v>Senior</v>
      </c>
      <c r="H195" s="4" t="s">
        <v>21</v>
      </c>
      <c r="I195" s="4">
        <v>4</v>
      </c>
      <c r="J195" s="11">
        <v>50</v>
      </c>
      <c r="K195" s="13">
        <f>I195*J195</f>
        <v>200</v>
      </c>
      <c r="L195" s="19">
        <f t="shared" ref="L195:L258" si="10">K195*$P$2</f>
        <v>3</v>
      </c>
      <c r="M195" s="19">
        <f t="shared" ref="M195:M258" si="11">K195*$P$3</f>
        <v>4</v>
      </c>
      <c r="N195" s="13" cm="1">
        <f t="array" ref="N195">_xlfn.IFS(C195=2023,K195*$P$2,C195=2024,K195*$P$3)</f>
        <v>3</v>
      </c>
    </row>
    <row r="196" spans="1:14">
      <c r="A196" s="2">
        <v>195</v>
      </c>
      <c r="B196" s="3">
        <v>44962</v>
      </c>
      <c r="C196" s="4">
        <f t="shared" si="9"/>
        <v>2023</v>
      </c>
      <c r="D196" s="4" t="s">
        <v>242</v>
      </c>
      <c r="E196" s="4" t="s">
        <v>16</v>
      </c>
      <c r="F196" s="4">
        <v>52</v>
      </c>
      <c r="G196" s="4" t="str" cm="1">
        <f t="array" ref="G196">_xlfn.IFS(F196&lt;30,"Young Adult",F196&lt;50,"Adult",F196&gt;=50,"Senior")</f>
        <v>Senior</v>
      </c>
      <c r="H196" s="4" t="s">
        <v>21</v>
      </c>
      <c r="I196" s="4">
        <v>1</v>
      </c>
      <c r="J196" s="11">
        <v>30</v>
      </c>
      <c r="K196" s="13">
        <f>I196*J196</f>
        <v>30</v>
      </c>
      <c r="L196" s="19">
        <f t="shared" si="10"/>
        <v>0.44999999999999996</v>
      </c>
      <c r="M196" s="19">
        <f t="shared" si="11"/>
        <v>0.6</v>
      </c>
      <c r="N196" s="13" cm="1">
        <f t="array" ref="N196">_xlfn.IFS(C196=2023,K196*$P$2,C196=2024,K196*$P$3)</f>
        <v>0.44999999999999996</v>
      </c>
    </row>
    <row r="197" spans="1:14">
      <c r="A197" s="2">
        <v>196</v>
      </c>
      <c r="B197" s="3">
        <v>45199</v>
      </c>
      <c r="C197" s="4">
        <f t="shared" si="9"/>
        <v>2023</v>
      </c>
      <c r="D197" s="4" t="s">
        <v>243</v>
      </c>
      <c r="E197" s="4" t="s">
        <v>20</v>
      </c>
      <c r="F197" s="4">
        <v>32</v>
      </c>
      <c r="G197" s="4" t="str" cm="1">
        <f t="array" ref="G197">_xlfn.IFS(F197&lt;30,"Young Adult",F197&lt;50,"Adult",F197&gt;=50,"Senior")</f>
        <v>Adult</v>
      </c>
      <c r="H197" s="4" t="s">
        <v>21</v>
      </c>
      <c r="I197" s="4">
        <v>3</v>
      </c>
      <c r="J197" s="11">
        <v>300</v>
      </c>
      <c r="K197" s="13">
        <f>I197*J197</f>
        <v>900</v>
      </c>
      <c r="L197" s="19">
        <f t="shared" si="10"/>
        <v>13.5</v>
      </c>
      <c r="M197" s="19">
        <f t="shared" si="11"/>
        <v>18</v>
      </c>
      <c r="N197" s="13" cm="1">
        <f t="array" ref="N197">_xlfn.IFS(C197=2023,K197*$P$2,C197=2024,K197*$P$3)</f>
        <v>13.5</v>
      </c>
    </row>
    <row r="198" spans="1:14">
      <c r="A198" s="2">
        <v>197</v>
      </c>
      <c r="B198" s="3">
        <v>44991</v>
      </c>
      <c r="C198" s="4">
        <f t="shared" si="9"/>
        <v>2023</v>
      </c>
      <c r="D198" s="4" t="s">
        <v>244</v>
      </c>
      <c r="E198" s="4" t="s">
        <v>20</v>
      </c>
      <c r="F198" s="4">
        <v>42</v>
      </c>
      <c r="G198" s="4" t="str" cm="1">
        <f t="array" ref="G198">_xlfn.IFS(F198&lt;30,"Young Adult",F198&lt;50,"Adult",F198&gt;=50,"Senior")</f>
        <v>Adult</v>
      </c>
      <c r="H198" s="4" t="s">
        <v>21</v>
      </c>
      <c r="I198" s="4">
        <v>4</v>
      </c>
      <c r="J198" s="11">
        <v>50</v>
      </c>
      <c r="K198" s="13">
        <f>I198*J198</f>
        <v>200</v>
      </c>
      <c r="L198" s="19">
        <f t="shared" si="10"/>
        <v>3</v>
      </c>
      <c r="M198" s="19">
        <f t="shared" si="11"/>
        <v>4</v>
      </c>
      <c r="N198" s="13" cm="1">
        <f t="array" ref="N198">_xlfn.IFS(C198=2023,K198*$P$2,C198=2024,K198*$P$3)</f>
        <v>3</v>
      </c>
    </row>
    <row r="199" spans="1:14">
      <c r="A199" s="2">
        <v>198</v>
      </c>
      <c r="B199" s="3">
        <v>44992</v>
      </c>
      <c r="C199" s="4">
        <f t="shared" si="9"/>
        <v>2023</v>
      </c>
      <c r="D199" s="4" t="s">
        <v>245</v>
      </c>
      <c r="E199" s="4" t="s">
        <v>20</v>
      </c>
      <c r="F199" s="4">
        <v>54</v>
      </c>
      <c r="G199" s="4" t="str" cm="1">
        <f t="array" ref="G199">_xlfn.IFS(F199&lt;30,"Young Adult",F199&lt;50,"Adult",F199&gt;=50,"Senior")</f>
        <v>Senior</v>
      </c>
      <c r="H199" s="4" t="s">
        <v>17</v>
      </c>
      <c r="I199" s="4">
        <v>3</v>
      </c>
      <c r="J199" s="11">
        <v>300</v>
      </c>
      <c r="K199" s="13">
        <f>I199*J199</f>
        <v>900</v>
      </c>
      <c r="L199" s="19">
        <f t="shared" si="10"/>
        <v>13.5</v>
      </c>
      <c r="M199" s="19">
        <f t="shared" si="11"/>
        <v>18</v>
      </c>
      <c r="N199" s="13" cm="1">
        <f t="array" ref="N199">_xlfn.IFS(C199=2023,K199*$P$2,C199=2024,K199*$P$3)</f>
        <v>13.5</v>
      </c>
    </row>
    <row r="200" spans="1:14">
      <c r="A200" s="2">
        <v>199</v>
      </c>
      <c r="B200" s="3">
        <v>45264</v>
      </c>
      <c r="C200" s="4">
        <f t="shared" si="9"/>
        <v>2023</v>
      </c>
      <c r="D200" s="4" t="s">
        <v>246</v>
      </c>
      <c r="E200" s="4" t="s">
        <v>16</v>
      </c>
      <c r="F200" s="4">
        <v>45</v>
      </c>
      <c r="G200" s="4" t="str" cm="1">
        <f t="array" ref="G200">_xlfn.IFS(F200&lt;30,"Young Adult",F200&lt;50,"Adult",F200&gt;=50,"Senior")</f>
        <v>Adult</v>
      </c>
      <c r="H200" s="4" t="s">
        <v>17</v>
      </c>
      <c r="I200" s="4">
        <v>3</v>
      </c>
      <c r="J200" s="11">
        <v>500</v>
      </c>
      <c r="K200" s="13">
        <f>I200*J200</f>
        <v>1500</v>
      </c>
      <c r="L200" s="19">
        <f t="shared" si="10"/>
        <v>22.5</v>
      </c>
      <c r="M200" s="19">
        <f t="shared" si="11"/>
        <v>30</v>
      </c>
      <c r="N200" s="13" cm="1">
        <f t="array" ref="N200">_xlfn.IFS(C200=2023,K200*$P$2,C200=2024,K200*$P$3)</f>
        <v>22.5</v>
      </c>
    </row>
    <row r="201" spans="1:14">
      <c r="A201" s="2">
        <v>200</v>
      </c>
      <c r="B201" s="3">
        <v>45170</v>
      </c>
      <c r="C201" s="4">
        <f t="shared" si="9"/>
        <v>2023</v>
      </c>
      <c r="D201" s="4" t="s">
        <v>247</v>
      </c>
      <c r="E201" s="4" t="s">
        <v>16</v>
      </c>
      <c r="F201" s="4">
        <v>27</v>
      </c>
      <c r="G201" s="4" t="str" cm="1">
        <f t="array" ref="G201">_xlfn.IFS(F201&lt;30,"Young Adult",F201&lt;50,"Adult",F201&gt;=50,"Senior")</f>
        <v>Young Adult</v>
      </c>
      <c r="H201" s="4" t="s">
        <v>17</v>
      </c>
      <c r="I201" s="4">
        <v>3</v>
      </c>
      <c r="J201" s="11">
        <v>50</v>
      </c>
      <c r="K201" s="13">
        <f>I201*J201</f>
        <v>150</v>
      </c>
      <c r="L201" s="19">
        <f t="shared" si="10"/>
        <v>2.25</v>
      </c>
      <c r="M201" s="19">
        <f t="shared" si="11"/>
        <v>3</v>
      </c>
      <c r="N201" s="13" cm="1">
        <f t="array" ref="N201">_xlfn.IFS(C201=2023,K201*$P$2,C201=2024,K201*$P$3)</f>
        <v>2.25</v>
      </c>
    </row>
    <row r="202" spans="1:14">
      <c r="A202" s="2">
        <v>201</v>
      </c>
      <c r="B202" s="3">
        <v>45208</v>
      </c>
      <c r="C202" s="4">
        <f t="shared" si="9"/>
        <v>2023</v>
      </c>
      <c r="D202" s="4" t="s">
        <v>248</v>
      </c>
      <c r="E202" s="4" t="s">
        <v>16</v>
      </c>
      <c r="F202" s="4">
        <v>56</v>
      </c>
      <c r="G202" s="4" t="str" cm="1">
        <f t="array" ref="G202">_xlfn.IFS(F202&lt;30,"Young Adult",F202&lt;50,"Adult",F202&gt;=50,"Senior")</f>
        <v>Senior</v>
      </c>
      <c r="H202" s="4" t="s">
        <v>24</v>
      </c>
      <c r="I202" s="4">
        <v>1</v>
      </c>
      <c r="J202" s="11">
        <v>25</v>
      </c>
      <c r="K202" s="13">
        <f>I202*J202</f>
        <v>25</v>
      </c>
      <c r="L202" s="19">
        <f t="shared" si="10"/>
        <v>0.375</v>
      </c>
      <c r="M202" s="19">
        <f t="shared" si="11"/>
        <v>0.5</v>
      </c>
      <c r="N202" s="13" cm="1">
        <f t="array" ref="N202">_xlfn.IFS(C202=2023,K202*$P$2,C202=2024,K202*$P$3)</f>
        <v>0.375</v>
      </c>
    </row>
    <row r="203" spans="1:14">
      <c r="A203" s="2">
        <v>202</v>
      </c>
      <c r="B203" s="3">
        <v>45011</v>
      </c>
      <c r="C203" s="4">
        <f t="shared" si="9"/>
        <v>2023</v>
      </c>
      <c r="D203" s="4" t="s">
        <v>249</v>
      </c>
      <c r="E203" s="4" t="s">
        <v>20</v>
      </c>
      <c r="F203" s="4">
        <v>34</v>
      </c>
      <c r="G203" s="4" t="str" cm="1">
        <f t="array" ref="G203">_xlfn.IFS(F203&lt;30,"Young Adult",F203&lt;50,"Adult",F203&gt;=50,"Senior")</f>
        <v>Adult</v>
      </c>
      <c r="H203" s="4" t="s">
        <v>21</v>
      </c>
      <c r="I203" s="4">
        <v>4</v>
      </c>
      <c r="J203" s="11">
        <v>300</v>
      </c>
      <c r="K203" s="13">
        <f>I203*J203</f>
        <v>1200</v>
      </c>
      <c r="L203" s="19">
        <f t="shared" si="10"/>
        <v>18</v>
      </c>
      <c r="M203" s="19">
        <f t="shared" si="11"/>
        <v>24</v>
      </c>
      <c r="N203" s="13" cm="1">
        <f t="array" ref="N203">_xlfn.IFS(C203=2023,K203*$P$2,C203=2024,K203*$P$3)</f>
        <v>18</v>
      </c>
    </row>
    <row r="204" spans="1:14">
      <c r="A204" s="2">
        <v>203</v>
      </c>
      <c r="B204" s="3">
        <v>45062</v>
      </c>
      <c r="C204" s="4">
        <f t="shared" si="9"/>
        <v>2023</v>
      </c>
      <c r="D204" s="4" t="s">
        <v>250</v>
      </c>
      <c r="E204" s="4" t="s">
        <v>16</v>
      </c>
      <c r="F204" s="4">
        <v>56</v>
      </c>
      <c r="G204" s="4" t="str" cm="1">
        <f t="array" ref="G204">_xlfn.IFS(F204&lt;30,"Young Adult",F204&lt;50,"Adult",F204&gt;=50,"Senior")</f>
        <v>Senior</v>
      </c>
      <c r="H204" s="4" t="s">
        <v>21</v>
      </c>
      <c r="I204" s="4">
        <v>2</v>
      </c>
      <c r="J204" s="11">
        <v>500</v>
      </c>
      <c r="K204" s="13">
        <f>I204*J204</f>
        <v>1000</v>
      </c>
      <c r="L204" s="19">
        <f t="shared" si="10"/>
        <v>15</v>
      </c>
      <c r="M204" s="19">
        <f t="shared" si="11"/>
        <v>20</v>
      </c>
      <c r="N204" s="13" cm="1">
        <f t="array" ref="N204">_xlfn.IFS(C204=2023,K204*$P$2,C204=2024,K204*$P$3)</f>
        <v>15</v>
      </c>
    </row>
    <row r="205" spans="1:14">
      <c r="A205" s="2">
        <v>204</v>
      </c>
      <c r="B205" s="3">
        <v>45197</v>
      </c>
      <c r="C205" s="4">
        <f t="shared" si="9"/>
        <v>2023</v>
      </c>
      <c r="D205" s="4" t="s">
        <v>251</v>
      </c>
      <c r="E205" s="4" t="s">
        <v>16</v>
      </c>
      <c r="F205" s="4">
        <v>39</v>
      </c>
      <c r="G205" s="4" t="str" cm="1">
        <f t="array" ref="G205">_xlfn.IFS(F205&lt;30,"Young Adult",F205&lt;50,"Adult",F205&gt;=50,"Senior")</f>
        <v>Adult</v>
      </c>
      <c r="H205" s="4" t="s">
        <v>17</v>
      </c>
      <c r="I205" s="4">
        <v>1</v>
      </c>
      <c r="J205" s="11">
        <v>25</v>
      </c>
      <c r="K205" s="13">
        <f>I205*J205</f>
        <v>25</v>
      </c>
      <c r="L205" s="19">
        <f t="shared" si="10"/>
        <v>0.375</v>
      </c>
      <c r="M205" s="19">
        <f t="shared" si="11"/>
        <v>0.5</v>
      </c>
      <c r="N205" s="13" cm="1">
        <f t="array" ref="N205">_xlfn.IFS(C205=2023,K205*$P$2,C205=2024,K205*$P$3)</f>
        <v>0.375</v>
      </c>
    </row>
    <row r="206" spans="1:14">
      <c r="A206" s="2">
        <v>205</v>
      </c>
      <c r="B206" s="3">
        <v>45237</v>
      </c>
      <c r="C206" s="4">
        <f t="shared" si="9"/>
        <v>2023</v>
      </c>
      <c r="D206" s="4" t="s">
        <v>252</v>
      </c>
      <c r="E206" s="4" t="s">
        <v>20</v>
      </c>
      <c r="F206" s="4">
        <v>43</v>
      </c>
      <c r="G206" s="4" t="str" cm="1">
        <f t="array" ref="G206">_xlfn.IFS(F206&lt;30,"Young Adult",F206&lt;50,"Adult",F206&gt;=50,"Senior")</f>
        <v>Adult</v>
      </c>
      <c r="H206" s="4" t="s">
        <v>21</v>
      </c>
      <c r="I206" s="4">
        <v>1</v>
      </c>
      <c r="J206" s="11">
        <v>25</v>
      </c>
      <c r="K206" s="13">
        <f>I206*J206</f>
        <v>25</v>
      </c>
      <c r="L206" s="19">
        <f t="shared" si="10"/>
        <v>0.375</v>
      </c>
      <c r="M206" s="19">
        <f t="shared" si="11"/>
        <v>0.5</v>
      </c>
      <c r="N206" s="13" cm="1">
        <f t="array" ref="N206">_xlfn.IFS(C206=2023,K206*$P$2,C206=2024,K206*$P$3)</f>
        <v>0.375</v>
      </c>
    </row>
    <row r="207" spans="1:14">
      <c r="A207" s="2">
        <v>206</v>
      </c>
      <c r="B207" s="3">
        <v>45143</v>
      </c>
      <c r="C207" s="4">
        <f t="shared" si="9"/>
        <v>2023</v>
      </c>
      <c r="D207" s="4" t="s">
        <v>253</v>
      </c>
      <c r="E207" s="4" t="s">
        <v>16</v>
      </c>
      <c r="F207" s="4">
        <v>61</v>
      </c>
      <c r="G207" s="4" t="str" cm="1">
        <f t="array" ref="G207">_xlfn.IFS(F207&lt;30,"Young Adult",F207&lt;50,"Adult",F207&gt;=50,"Senior")</f>
        <v>Senior</v>
      </c>
      <c r="H207" s="4" t="s">
        <v>21</v>
      </c>
      <c r="I207" s="4">
        <v>1</v>
      </c>
      <c r="J207" s="11">
        <v>25</v>
      </c>
      <c r="K207" s="13">
        <f>I207*J207</f>
        <v>25</v>
      </c>
      <c r="L207" s="19">
        <f t="shared" si="10"/>
        <v>0.375</v>
      </c>
      <c r="M207" s="19">
        <f t="shared" si="11"/>
        <v>0.5</v>
      </c>
      <c r="N207" s="13" cm="1">
        <f t="array" ref="N207">_xlfn.IFS(C207=2023,K207*$P$2,C207=2024,K207*$P$3)</f>
        <v>0.375</v>
      </c>
    </row>
    <row r="208" spans="1:14">
      <c r="A208" s="2">
        <v>207</v>
      </c>
      <c r="B208" s="3">
        <v>45035</v>
      </c>
      <c r="C208" s="4">
        <f t="shared" si="9"/>
        <v>2023</v>
      </c>
      <c r="D208" s="4" t="s">
        <v>254</v>
      </c>
      <c r="E208" s="4" t="s">
        <v>20</v>
      </c>
      <c r="F208" s="4">
        <v>42</v>
      </c>
      <c r="G208" s="4" t="str" cm="1">
        <f t="array" ref="G208">_xlfn.IFS(F208&lt;30,"Young Adult",F208&lt;50,"Adult",F208&gt;=50,"Senior")</f>
        <v>Adult</v>
      </c>
      <c r="H208" s="4" t="s">
        <v>17</v>
      </c>
      <c r="I208" s="4">
        <v>2</v>
      </c>
      <c r="J208" s="11">
        <v>25</v>
      </c>
      <c r="K208" s="13">
        <f>I208*J208</f>
        <v>50</v>
      </c>
      <c r="L208" s="19">
        <f t="shared" si="10"/>
        <v>0.75</v>
      </c>
      <c r="M208" s="19">
        <f t="shared" si="11"/>
        <v>1</v>
      </c>
      <c r="N208" s="13" cm="1">
        <f t="array" ref="N208">_xlfn.IFS(C208=2023,K208*$P$2,C208=2024,K208*$P$3)</f>
        <v>0.75</v>
      </c>
    </row>
    <row r="209" spans="1:14">
      <c r="A209" s="2">
        <v>208</v>
      </c>
      <c r="B209" s="3">
        <v>45203</v>
      </c>
      <c r="C209" s="4">
        <f t="shared" si="9"/>
        <v>2023</v>
      </c>
      <c r="D209" s="4" t="s">
        <v>255</v>
      </c>
      <c r="E209" s="4" t="s">
        <v>20</v>
      </c>
      <c r="F209" s="4">
        <v>34</v>
      </c>
      <c r="G209" s="4" t="str" cm="1">
        <f t="array" ref="G209">_xlfn.IFS(F209&lt;30,"Young Adult",F209&lt;50,"Adult",F209&gt;=50,"Senior")</f>
        <v>Adult</v>
      </c>
      <c r="H209" s="4" t="s">
        <v>24</v>
      </c>
      <c r="I209" s="4">
        <v>4</v>
      </c>
      <c r="J209" s="11">
        <v>50</v>
      </c>
      <c r="K209" s="13">
        <f>I209*J209</f>
        <v>200</v>
      </c>
      <c r="L209" s="19">
        <f t="shared" si="10"/>
        <v>3</v>
      </c>
      <c r="M209" s="19">
        <f t="shared" si="11"/>
        <v>4</v>
      </c>
      <c r="N209" s="13" cm="1">
        <f t="array" ref="N209">_xlfn.IFS(C209=2023,K209*$P$2,C209=2024,K209*$P$3)</f>
        <v>3</v>
      </c>
    </row>
    <row r="210" spans="1:14">
      <c r="A210" s="2">
        <v>209</v>
      </c>
      <c r="B210" s="3">
        <v>45280</v>
      </c>
      <c r="C210" s="4">
        <f t="shared" si="9"/>
        <v>2023</v>
      </c>
      <c r="D210" s="4" t="s">
        <v>256</v>
      </c>
      <c r="E210" s="4" t="s">
        <v>20</v>
      </c>
      <c r="F210" s="4">
        <v>30</v>
      </c>
      <c r="G210" s="4" t="str" cm="1">
        <f t="array" ref="G210">_xlfn.IFS(F210&lt;30,"Young Adult",F210&lt;50,"Adult",F210&gt;=50,"Senior")</f>
        <v>Adult</v>
      </c>
      <c r="H210" s="4" t="s">
        <v>24</v>
      </c>
      <c r="I210" s="4">
        <v>4</v>
      </c>
      <c r="J210" s="11">
        <v>50</v>
      </c>
      <c r="K210" s="13">
        <f>I210*J210</f>
        <v>200</v>
      </c>
      <c r="L210" s="19">
        <f t="shared" si="10"/>
        <v>3</v>
      </c>
      <c r="M210" s="19">
        <f t="shared" si="11"/>
        <v>4</v>
      </c>
      <c r="N210" s="13" cm="1">
        <f t="array" ref="N210">_xlfn.IFS(C210=2023,K210*$P$2,C210=2024,K210*$P$3)</f>
        <v>3</v>
      </c>
    </row>
    <row r="211" spans="1:14">
      <c r="A211" s="2">
        <v>210</v>
      </c>
      <c r="B211" s="3">
        <v>45029</v>
      </c>
      <c r="C211" s="4">
        <f t="shared" si="9"/>
        <v>2023</v>
      </c>
      <c r="D211" s="4" t="s">
        <v>257</v>
      </c>
      <c r="E211" s="4" t="s">
        <v>16</v>
      </c>
      <c r="F211" s="4">
        <v>37</v>
      </c>
      <c r="G211" s="4" t="str" cm="1">
        <f t="array" ref="G211">_xlfn.IFS(F211&lt;30,"Young Adult",F211&lt;50,"Adult",F211&gt;=50,"Senior")</f>
        <v>Adult</v>
      </c>
      <c r="H211" s="4" t="s">
        <v>24</v>
      </c>
      <c r="I211" s="4">
        <v>4</v>
      </c>
      <c r="J211" s="11">
        <v>50</v>
      </c>
      <c r="K211" s="13">
        <f>I211*J211</f>
        <v>200</v>
      </c>
      <c r="L211" s="19">
        <f t="shared" si="10"/>
        <v>3</v>
      </c>
      <c r="M211" s="19">
        <f t="shared" si="11"/>
        <v>4</v>
      </c>
      <c r="N211" s="13" cm="1">
        <f t="array" ref="N211">_xlfn.IFS(C211=2023,K211*$P$2,C211=2024,K211*$P$3)</f>
        <v>3</v>
      </c>
    </row>
    <row r="212" spans="1:14">
      <c r="A212" s="2">
        <v>211</v>
      </c>
      <c r="B212" s="3">
        <v>45292</v>
      </c>
      <c r="C212" s="4">
        <f t="shared" si="9"/>
        <v>2024</v>
      </c>
      <c r="D212" s="4" t="s">
        <v>258</v>
      </c>
      <c r="E212" s="4" t="s">
        <v>16</v>
      </c>
      <c r="F212" s="4">
        <v>42</v>
      </c>
      <c r="G212" s="4" t="str" cm="1">
        <f t="array" ref="G212">_xlfn.IFS(F212&lt;30,"Young Adult",F212&lt;50,"Adult",F212&gt;=50,"Senior")</f>
        <v>Adult</v>
      </c>
      <c r="H212" s="4" t="s">
        <v>17</v>
      </c>
      <c r="I212" s="4">
        <v>3</v>
      </c>
      <c r="J212" s="11">
        <v>500</v>
      </c>
      <c r="K212" s="13">
        <f>I212*J212</f>
        <v>1500</v>
      </c>
      <c r="L212" s="19">
        <f t="shared" si="10"/>
        <v>22.5</v>
      </c>
      <c r="M212" s="19">
        <f t="shared" si="11"/>
        <v>30</v>
      </c>
      <c r="N212" s="13" cm="1">
        <f t="array" ref="N212">_xlfn.IFS(C212=2023,K212*$P$2,C212=2024,K212*$P$3)</f>
        <v>30</v>
      </c>
    </row>
    <row r="213" spans="1:14">
      <c r="A213" s="2">
        <v>212</v>
      </c>
      <c r="B213" s="3">
        <v>45086</v>
      </c>
      <c r="C213" s="4">
        <f t="shared" si="9"/>
        <v>2023</v>
      </c>
      <c r="D213" s="4" t="s">
        <v>259</v>
      </c>
      <c r="E213" s="4" t="s">
        <v>16</v>
      </c>
      <c r="F213" s="4">
        <v>21</v>
      </c>
      <c r="G213" s="4" t="str" cm="1">
        <f t="array" ref="G213">_xlfn.IFS(F213&lt;30,"Young Adult",F213&lt;50,"Adult",F213&gt;=50,"Senior")</f>
        <v>Young Adult</v>
      </c>
      <c r="H213" s="4" t="s">
        <v>21</v>
      </c>
      <c r="I213" s="4">
        <v>3</v>
      </c>
      <c r="J213" s="11">
        <v>500</v>
      </c>
      <c r="K213" s="13">
        <f>I213*J213</f>
        <v>1500</v>
      </c>
      <c r="L213" s="19">
        <f t="shared" si="10"/>
        <v>22.5</v>
      </c>
      <c r="M213" s="19">
        <f t="shared" si="11"/>
        <v>30</v>
      </c>
      <c r="N213" s="13" cm="1">
        <f t="array" ref="N213">_xlfn.IFS(C213=2023,K213*$P$2,C213=2024,K213*$P$3)</f>
        <v>22.5</v>
      </c>
    </row>
    <row r="214" spans="1:14">
      <c r="A214" s="2">
        <v>213</v>
      </c>
      <c r="B214" s="3">
        <v>45131</v>
      </c>
      <c r="C214" s="4">
        <f t="shared" si="9"/>
        <v>2023</v>
      </c>
      <c r="D214" s="4" t="s">
        <v>260</v>
      </c>
      <c r="E214" s="4" t="s">
        <v>16</v>
      </c>
      <c r="F214" s="4">
        <v>27</v>
      </c>
      <c r="G214" s="4" t="str" cm="1">
        <f t="array" ref="G214">_xlfn.IFS(F214&lt;30,"Young Adult",F214&lt;50,"Adult",F214&gt;=50,"Senior")</f>
        <v>Young Adult</v>
      </c>
      <c r="H214" s="4" t="s">
        <v>17</v>
      </c>
      <c r="I214" s="4">
        <v>3</v>
      </c>
      <c r="J214" s="11">
        <v>500</v>
      </c>
      <c r="K214" s="13">
        <f>I214*J214</f>
        <v>1500</v>
      </c>
      <c r="L214" s="19">
        <f t="shared" si="10"/>
        <v>22.5</v>
      </c>
      <c r="M214" s="19">
        <f t="shared" si="11"/>
        <v>30</v>
      </c>
      <c r="N214" s="13" cm="1">
        <f t="array" ref="N214">_xlfn.IFS(C214=2023,K214*$P$2,C214=2024,K214*$P$3)</f>
        <v>22.5</v>
      </c>
    </row>
    <row r="215" spans="1:14">
      <c r="A215" s="2">
        <v>214</v>
      </c>
      <c r="B215" s="3">
        <v>45270</v>
      </c>
      <c r="C215" s="4">
        <f t="shared" si="9"/>
        <v>2023</v>
      </c>
      <c r="D215" s="4" t="s">
        <v>261</v>
      </c>
      <c r="E215" s="4" t="s">
        <v>16</v>
      </c>
      <c r="F215" s="4">
        <v>20</v>
      </c>
      <c r="G215" s="4" t="str" cm="1">
        <f t="array" ref="G215">_xlfn.IFS(F215&lt;30,"Young Adult",F215&lt;50,"Adult",F215&gt;=50,"Senior")</f>
        <v>Young Adult</v>
      </c>
      <c r="H215" s="4" t="s">
        <v>17</v>
      </c>
      <c r="I215" s="4">
        <v>2</v>
      </c>
      <c r="J215" s="11">
        <v>30</v>
      </c>
      <c r="K215" s="13">
        <f>I215*J215</f>
        <v>60</v>
      </c>
      <c r="L215" s="19">
        <f t="shared" si="10"/>
        <v>0.89999999999999991</v>
      </c>
      <c r="M215" s="19">
        <f t="shared" si="11"/>
        <v>1.2</v>
      </c>
      <c r="N215" s="13" cm="1">
        <f t="array" ref="N215">_xlfn.IFS(C215=2023,K215*$P$2,C215=2024,K215*$P$3)</f>
        <v>0.89999999999999991</v>
      </c>
    </row>
    <row r="216" spans="1:14">
      <c r="A216" s="2">
        <v>215</v>
      </c>
      <c r="B216" s="3">
        <v>45259</v>
      </c>
      <c r="C216" s="4">
        <f t="shared" si="9"/>
        <v>2023</v>
      </c>
      <c r="D216" s="4" t="s">
        <v>262</v>
      </c>
      <c r="E216" s="4" t="s">
        <v>16</v>
      </c>
      <c r="F216" s="4">
        <v>58</v>
      </c>
      <c r="G216" s="4" t="str" cm="1">
        <f t="array" ref="G216">_xlfn.IFS(F216&lt;30,"Young Adult",F216&lt;50,"Adult",F216&gt;=50,"Senior")</f>
        <v>Senior</v>
      </c>
      <c r="H216" s="4" t="s">
        <v>21</v>
      </c>
      <c r="I216" s="4">
        <v>3</v>
      </c>
      <c r="J216" s="11">
        <v>500</v>
      </c>
      <c r="K216" s="13">
        <f>I216*J216</f>
        <v>1500</v>
      </c>
      <c r="L216" s="19">
        <f t="shared" si="10"/>
        <v>22.5</v>
      </c>
      <c r="M216" s="19">
        <f t="shared" si="11"/>
        <v>30</v>
      </c>
      <c r="N216" s="13" cm="1">
        <f t="array" ref="N216">_xlfn.IFS(C216=2023,K216*$P$2,C216=2024,K216*$P$3)</f>
        <v>22.5</v>
      </c>
    </row>
    <row r="217" spans="1:14">
      <c r="A217" s="2">
        <v>216</v>
      </c>
      <c r="B217" s="3">
        <v>45118</v>
      </c>
      <c r="C217" s="4">
        <f t="shared" si="9"/>
        <v>2023</v>
      </c>
      <c r="D217" s="4" t="s">
        <v>263</v>
      </c>
      <c r="E217" s="4" t="s">
        <v>16</v>
      </c>
      <c r="F217" s="4">
        <v>62</v>
      </c>
      <c r="G217" s="4" t="str" cm="1">
        <f t="array" ref="G217">_xlfn.IFS(F217&lt;30,"Young Adult",F217&lt;50,"Adult",F217&gt;=50,"Senior")</f>
        <v>Senior</v>
      </c>
      <c r="H217" s="4" t="s">
        <v>24</v>
      </c>
      <c r="I217" s="4">
        <v>2</v>
      </c>
      <c r="J217" s="11">
        <v>50</v>
      </c>
      <c r="K217" s="13">
        <f>I217*J217</f>
        <v>100</v>
      </c>
      <c r="L217" s="19">
        <f t="shared" si="10"/>
        <v>1.5</v>
      </c>
      <c r="M217" s="19">
        <f t="shared" si="11"/>
        <v>2</v>
      </c>
      <c r="N217" s="13" cm="1">
        <f t="array" ref="N217">_xlfn.IFS(C217=2023,K217*$P$2,C217=2024,K217*$P$3)</f>
        <v>1.5</v>
      </c>
    </row>
    <row r="218" spans="1:14">
      <c r="A218" s="2">
        <v>217</v>
      </c>
      <c r="B218" s="3">
        <v>45151</v>
      </c>
      <c r="C218" s="4">
        <f t="shared" si="9"/>
        <v>2023</v>
      </c>
      <c r="D218" s="4" t="s">
        <v>264</v>
      </c>
      <c r="E218" s="4" t="s">
        <v>20</v>
      </c>
      <c r="F218" s="4">
        <v>35</v>
      </c>
      <c r="G218" s="4" t="str" cm="1">
        <f t="array" ref="G218">_xlfn.IFS(F218&lt;30,"Young Adult",F218&lt;50,"Adult",F218&gt;=50,"Senior")</f>
        <v>Adult</v>
      </c>
      <c r="H218" s="4" t="s">
        <v>24</v>
      </c>
      <c r="I218" s="4">
        <v>4</v>
      </c>
      <c r="J218" s="11">
        <v>50</v>
      </c>
      <c r="K218" s="13">
        <f>I218*J218</f>
        <v>200</v>
      </c>
      <c r="L218" s="19">
        <f t="shared" si="10"/>
        <v>3</v>
      </c>
      <c r="M218" s="19">
        <f t="shared" si="11"/>
        <v>4</v>
      </c>
      <c r="N218" s="13" cm="1">
        <f t="array" ref="N218">_xlfn.IFS(C218=2023,K218*$P$2,C218=2024,K218*$P$3)</f>
        <v>3</v>
      </c>
    </row>
    <row r="219" spans="1:14">
      <c r="A219" s="2">
        <v>218</v>
      </c>
      <c r="B219" s="3">
        <v>45191</v>
      </c>
      <c r="C219" s="4">
        <f t="shared" si="9"/>
        <v>2023</v>
      </c>
      <c r="D219" s="4" t="s">
        <v>265</v>
      </c>
      <c r="E219" s="4" t="s">
        <v>16</v>
      </c>
      <c r="F219" s="4">
        <v>64</v>
      </c>
      <c r="G219" s="4" t="str" cm="1">
        <f t="array" ref="G219">_xlfn.IFS(F219&lt;30,"Young Adult",F219&lt;50,"Adult",F219&gt;=50,"Senior")</f>
        <v>Senior</v>
      </c>
      <c r="H219" s="4" t="s">
        <v>17</v>
      </c>
      <c r="I219" s="4">
        <v>3</v>
      </c>
      <c r="J219" s="11">
        <v>30</v>
      </c>
      <c r="K219" s="13">
        <f>I219*J219</f>
        <v>90</v>
      </c>
      <c r="L219" s="19">
        <f t="shared" si="10"/>
        <v>1.3499999999999999</v>
      </c>
      <c r="M219" s="19">
        <f t="shared" si="11"/>
        <v>1.8</v>
      </c>
      <c r="N219" s="13" cm="1">
        <f t="array" ref="N219">_xlfn.IFS(C219=2023,K219*$P$2,C219=2024,K219*$P$3)</f>
        <v>1.3499999999999999</v>
      </c>
    </row>
    <row r="220" spans="1:14">
      <c r="A220" s="2">
        <v>219</v>
      </c>
      <c r="B220" s="3">
        <v>45158</v>
      </c>
      <c r="C220" s="4">
        <f t="shared" si="9"/>
        <v>2023</v>
      </c>
      <c r="D220" s="4" t="s">
        <v>266</v>
      </c>
      <c r="E220" s="4" t="s">
        <v>20</v>
      </c>
      <c r="F220" s="4">
        <v>53</v>
      </c>
      <c r="G220" s="4" t="str" cm="1">
        <f t="array" ref="G220">_xlfn.IFS(F220&lt;30,"Young Adult",F220&lt;50,"Adult",F220&gt;=50,"Senior")</f>
        <v>Senior</v>
      </c>
      <c r="H220" s="4" t="s">
        <v>24</v>
      </c>
      <c r="I220" s="4">
        <v>3</v>
      </c>
      <c r="J220" s="11">
        <v>30</v>
      </c>
      <c r="K220" s="13">
        <f>I220*J220</f>
        <v>90</v>
      </c>
      <c r="L220" s="19">
        <f t="shared" si="10"/>
        <v>1.3499999999999999</v>
      </c>
      <c r="M220" s="19">
        <f t="shared" si="11"/>
        <v>1.8</v>
      </c>
      <c r="N220" s="13" cm="1">
        <f t="array" ref="N220">_xlfn.IFS(C220=2023,K220*$P$2,C220=2024,K220*$P$3)</f>
        <v>1.3499999999999999</v>
      </c>
    </row>
    <row r="221" spans="1:14">
      <c r="A221" s="2">
        <v>220</v>
      </c>
      <c r="B221" s="3">
        <v>44988</v>
      </c>
      <c r="C221" s="4">
        <f t="shared" si="9"/>
        <v>2023</v>
      </c>
      <c r="D221" s="4" t="s">
        <v>267</v>
      </c>
      <c r="E221" s="4" t="s">
        <v>16</v>
      </c>
      <c r="F221" s="4">
        <v>64</v>
      </c>
      <c r="G221" s="4" t="str" cm="1">
        <f t="array" ref="G221">_xlfn.IFS(F221&lt;30,"Young Adult",F221&lt;50,"Adult",F221&gt;=50,"Senior")</f>
        <v>Senior</v>
      </c>
      <c r="H221" s="4" t="s">
        <v>17</v>
      </c>
      <c r="I221" s="4">
        <v>1</v>
      </c>
      <c r="J221" s="11">
        <v>500</v>
      </c>
      <c r="K221" s="13">
        <f>I221*J221</f>
        <v>500</v>
      </c>
      <c r="L221" s="19">
        <f t="shared" si="10"/>
        <v>7.5</v>
      </c>
      <c r="M221" s="19">
        <f t="shared" si="11"/>
        <v>10</v>
      </c>
      <c r="N221" s="13" cm="1">
        <f t="array" ref="N221">_xlfn.IFS(C221=2023,K221*$P$2,C221=2024,K221*$P$3)</f>
        <v>7.5</v>
      </c>
    </row>
    <row r="222" spans="1:14">
      <c r="A222" s="2">
        <v>221</v>
      </c>
      <c r="B222" s="3">
        <v>45053</v>
      </c>
      <c r="C222" s="4">
        <f t="shared" si="9"/>
        <v>2023</v>
      </c>
      <c r="D222" s="4" t="s">
        <v>268</v>
      </c>
      <c r="E222" s="4" t="s">
        <v>16</v>
      </c>
      <c r="F222" s="4">
        <v>39</v>
      </c>
      <c r="G222" s="4" t="str" cm="1">
        <f t="array" ref="G222">_xlfn.IFS(F222&lt;30,"Young Adult",F222&lt;50,"Adult",F222&gt;=50,"Senior")</f>
        <v>Adult</v>
      </c>
      <c r="H222" s="4" t="s">
        <v>17</v>
      </c>
      <c r="I222" s="4">
        <v>2</v>
      </c>
      <c r="J222" s="11">
        <v>300</v>
      </c>
      <c r="K222" s="13">
        <f>I222*J222</f>
        <v>600</v>
      </c>
      <c r="L222" s="19">
        <f t="shared" si="10"/>
        <v>9</v>
      </c>
      <c r="M222" s="19">
        <f t="shared" si="11"/>
        <v>12</v>
      </c>
      <c r="N222" s="13" cm="1">
        <f t="array" ref="N222">_xlfn.IFS(C222=2023,K222*$P$2,C222=2024,K222*$P$3)</f>
        <v>9</v>
      </c>
    </row>
    <row r="223" spans="1:14">
      <c r="A223" s="2">
        <v>222</v>
      </c>
      <c r="B223" s="3">
        <v>45042</v>
      </c>
      <c r="C223" s="4">
        <f t="shared" si="9"/>
        <v>2023</v>
      </c>
      <c r="D223" s="4" t="s">
        <v>269</v>
      </c>
      <c r="E223" s="4" t="s">
        <v>16</v>
      </c>
      <c r="F223" s="4">
        <v>51</v>
      </c>
      <c r="G223" s="4" t="str" cm="1">
        <f t="array" ref="G223">_xlfn.IFS(F223&lt;30,"Young Adult",F223&lt;50,"Adult",F223&gt;=50,"Senior")</f>
        <v>Senior</v>
      </c>
      <c r="H223" s="4" t="s">
        <v>21</v>
      </c>
      <c r="I223" s="4">
        <v>4</v>
      </c>
      <c r="J223" s="11">
        <v>30</v>
      </c>
      <c r="K223" s="13">
        <f>I223*J223</f>
        <v>120</v>
      </c>
      <c r="L223" s="19">
        <f t="shared" si="10"/>
        <v>1.7999999999999998</v>
      </c>
      <c r="M223" s="19">
        <f t="shared" si="11"/>
        <v>2.4</v>
      </c>
      <c r="N223" s="13" cm="1">
        <f t="array" ref="N223">_xlfn.IFS(C223=2023,K223*$P$2,C223=2024,K223*$P$3)</f>
        <v>1.7999999999999998</v>
      </c>
    </row>
    <row r="224" spans="1:14">
      <c r="A224" s="2">
        <v>223</v>
      </c>
      <c r="B224" s="3">
        <v>44959</v>
      </c>
      <c r="C224" s="4">
        <f t="shared" si="9"/>
        <v>2023</v>
      </c>
      <c r="D224" s="4" t="s">
        <v>270</v>
      </c>
      <c r="E224" s="4" t="s">
        <v>20</v>
      </c>
      <c r="F224" s="4">
        <v>64</v>
      </c>
      <c r="G224" s="4" t="str" cm="1">
        <f t="array" ref="G224">_xlfn.IFS(F224&lt;30,"Young Adult",F224&lt;50,"Adult",F224&gt;=50,"Senior")</f>
        <v>Senior</v>
      </c>
      <c r="H224" s="4" t="s">
        <v>21</v>
      </c>
      <c r="I224" s="4">
        <v>1</v>
      </c>
      <c r="J224" s="11">
        <v>25</v>
      </c>
      <c r="K224" s="13">
        <f>I224*J224</f>
        <v>25</v>
      </c>
      <c r="L224" s="19">
        <f t="shared" si="10"/>
        <v>0.375</v>
      </c>
      <c r="M224" s="19">
        <f t="shared" si="11"/>
        <v>0.5</v>
      </c>
      <c r="N224" s="13" cm="1">
        <f t="array" ref="N224">_xlfn.IFS(C224=2023,K224*$P$2,C224=2024,K224*$P$3)</f>
        <v>0.375</v>
      </c>
    </row>
    <row r="225" spans="1:14">
      <c r="A225" s="2">
        <v>224</v>
      </c>
      <c r="B225" s="3">
        <v>45100</v>
      </c>
      <c r="C225" s="4">
        <f t="shared" si="9"/>
        <v>2023</v>
      </c>
      <c r="D225" s="4" t="s">
        <v>271</v>
      </c>
      <c r="E225" s="4" t="s">
        <v>20</v>
      </c>
      <c r="F225" s="4">
        <v>25</v>
      </c>
      <c r="G225" s="4" t="str" cm="1">
        <f t="array" ref="G225">_xlfn.IFS(F225&lt;30,"Young Adult",F225&lt;50,"Adult",F225&gt;=50,"Senior")</f>
        <v>Young Adult</v>
      </c>
      <c r="H225" s="4" t="s">
        <v>21</v>
      </c>
      <c r="I225" s="4">
        <v>1</v>
      </c>
      <c r="J225" s="11">
        <v>50</v>
      </c>
      <c r="K225" s="13">
        <f>I225*J225</f>
        <v>50</v>
      </c>
      <c r="L225" s="19">
        <f t="shared" si="10"/>
        <v>0.75</v>
      </c>
      <c r="M225" s="19">
        <f t="shared" si="11"/>
        <v>1</v>
      </c>
      <c r="N225" s="13" cm="1">
        <f t="array" ref="N225">_xlfn.IFS(C225=2023,K225*$P$2,C225=2024,K225*$P$3)</f>
        <v>0.75</v>
      </c>
    </row>
    <row r="226" spans="1:14">
      <c r="A226" s="2">
        <v>225</v>
      </c>
      <c r="B226" s="3">
        <v>44937</v>
      </c>
      <c r="C226" s="4">
        <f t="shared" si="9"/>
        <v>2023</v>
      </c>
      <c r="D226" s="4" t="s">
        <v>272</v>
      </c>
      <c r="E226" s="4" t="s">
        <v>20</v>
      </c>
      <c r="F226" s="4">
        <v>57</v>
      </c>
      <c r="G226" s="4" t="str" cm="1">
        <f t="array" ref="G226">_xlfn.IFS(F226&lt;30,"Young Adult",F226&lt;50,"Adult",F226&gt;=50,"Senior")</f>
        <v>Senior</v>
      </c>
      <c r="H226" s="4" t="s">
        <v>17</v>
      </c>
      <c r="I226" s="4">
        <v>4</v>
      </c>
      <c r="J226" s="11">
        <v>25</v>
      </c>
      <c r="K226" s="13">
        <f>I226*J226</f>
        <v>100</v>
      </c>
      <c r="L226" s="19">
        <f t="shared" si="10"/>
        <v>1.5</v>
      </c>
      <c r="M226" s="19">
        <f t="shared" si="11"/>
        <v>2</v>
      </c>
      <c r="N226" s="13" cm="1">
        <f t="array" ref="N226">_xlfn.IFS(C226=2023,K226*$P$2,C226=2024,K226*$P$3)</f>
        <v>1.5</v>
      </c>
    </row>
    <row r="227" spans="1:14">
      <c r="A227" s="2">
        <v>226</v>
      </c>
      <c r="B227" s="3">
        <v>45228</v>
      </c>
      <c r="C227" s="4">
        <f t="shared" si="9"/>
        <v>2023</v>
      </c>
      <c r="D227" s="4" t="s">
        <v>273</v>
      </c>
      <c r="E227" s="4" t="s">
        <v>20</v>
      </c>
      <c r="F227" s="4">
        <v>61</v>
      </c>
      <c r="G227" s="4" t="str" cm="1">
        <f t="array" ref="G227">_xlfn.IFS(F227&lt;30,"Young Adult",F227&lt;50,"Adult",F227&gt;=50,"Senior")</f>
        <v>Senior</v>
      </c>
      <c r="H227" s="4" t="s">
        <v>21</v>
      </c>
      <c r="I227" s="4">
        <v>1</v>
      </c>
      <c r="J227" s="11">
        <v>50</v>
      </c>
      <c r="K227" s="13">
        <f>I227*J227</f>
        <v>50</v>
      </c>
      <c r="L227" s="19">
        <f t="shared" si="10"/>
        <v>0.75</v>
      </c>
      <c r="M227" s="19">
        <f t="shared" si="11"/>
        <v>1</v>
      </c>
      <c r="N227" s="13" cm="1">
        <f t="array" ref="N227">_xlfn.IFS(C227=2023,K227*$P$2,C227=2024,K227*$P$3)</f>
        <v>0.75</v>
      </c>
    </row>
    <row r="228" spans="1:14">
      <c r="A228" s="2">
        <v>227</v>
      </c>
      <c r="B228" s="3">
        <v>45210</v>
      </c>
      <c r="C228" s="4">
        <f t="shared" si="9"/>
        <v>2023</v>
      </c>
      <c r="D228" s="4" t="s">
        <v>274</v>
      </c>
      <c r="E228" s="4" t="s">
        <v>16</v>
      </c>
      <c r="F228" s="4">
        <v>36</v>
      </c>
      <c r="G228" s="4" t="str" cm="1">
        <f t="array" ref="G228">_xlfn.IFS(F228&lt;30,"Young Adult",F228&lt;50,"Adult",F228&gt;=50,"Senior")</f>
        <v>Adult</v>
      </c>
      <c r="H228" s="4" t="s">
        <v>24</v>
      </c>
      <c r="I228" s="4">
        <v>2</v>
      </c>
      <c r="J228" s="11">
        <v>50</v>
      </c>
      <c r="K228" s="13">
        <f>I228*J228</f>
        <v>100</v>
      </c>
      <c r="L228" s="19">
        <f t="shared" si="10"/>
        <v>1.5</v>
      </c>
      <c r="M228" s="19">
        <f t="shared" si="11"/>
        <v>2</v>
      </c>
      <c r="N228" s="13" cm="1">
        <f t="array" ref="N228">_xlfn.IFS(C228=2023,K228*$P$2,C228=2024,K228*$P$3)</f>
        <v>1.5</v>
      </c>
    </row>
    <row r="229" spans="1:14">
      <c r="A229" s="2">
        <v>228</v>
      </c>
      <c r="B229" s="3">
        <v>45044</v>
      </c>
      <c r="C229" s="4">
        <f t="shared" si="9"/>
        <v>2023</v>
      </c>
      <c r="D229" s="4" t="s">
        <v>275</v>
      </c>
      <c r="E229" s="4" t="s">
        <v>20</v>
      </c>
      <c r="F229" s="4">
        <v>59</v>
      </c>
      <c r="G229" s="4" t="str" cm="1">
        <f t="array" ref="G229">_xlfn.IFS(F229&lt;30,"Young Adult",F229&lt;50,"Adult",F229&gt;=50,"Senior")</f>
        <v>Senior</v>
      </c>
      <c r="H229" s="4" t="s">
        <v>24</v>
      </c>
      <c r="I229" s="4">
        <v>2</v>
      </c>
      <c r="J229" s="11">
        <v>30</v>
      </c>
      <c r="K229" s="13">
        <f>I229*J229</f>
        <v>60</v>
      </c>
      <c r="L229" s="19">
        <f t="shared" si="10"/>
        <v>0.89999999999999991</v>
      </c>
      <c r="M229" s="19">
        <f t="shared" si="11"/>
        <v>1.2</v>
      </c>
      <c r="N229" s="13" cm="1">
        <f t="array" ref="N229">_xlfn.IFS(C229=2023,K229*$P$2,C229=2024,K229*$P$3)</f>
        <v>0.89999999999999991</v>
      </c>
    </row>
    <row r="230" spans="1:14">
      <c r="A230" s="2">
        <v>229</v>
      </c>
      <c r="B230" s="3">
        <v>45228</v>
      </c>
      <c r="C230" s="4">
        <f t="shared" si="9"/>
        <v>2023</v>
      </c>
      <c r="D230" s="4" t="s">
        <v>276</v>
      </c>
      <c r="E230" s="4" t="s">
        <v>16</v>
      </c>
      <c r="F230" s="4">
        <v>58</v>
      </c>
      <c r="G230" s="4" t="str" cm="1">
        <f t="array" ref="G230">_xlfn.IFS(F230&lt;30,"Young Adult",F230&lt;50,"Adult",F230&gt;=50,"Senior")</f>
        <v>Senior</v>
      </c>
      <c r="H230" s="4" t="s">
        <v>17</v>
      </c>
      <c r="I230" s="4">
        <v>3</v>
      </c>
      <c r="J230" s="11">
        <v>30</v>
      </c>
      <c r="K230" s="13">
        <f>I230*J230</f>
        <v>90</v>
      </c>
      <c r="L230" s="19">
        <f t="shared" si="10"/>
        <v>1.3499999999999999</v>
      </c>
      <c r="M230" s="19">
        <f t="shared" si="11"/>
        <v>1.8</v>
      </c>
      <c r="N230" s="13" cm="1">
        <f t="array" ref="N230">_xlfn.IFS(C230=2023,K230*$P$2,C230=2024,K230*$P$3)</f>
        <v>1.3499999999999999</v>
      </c>
    </row>
    <row r="231" spans="1:14">
      <c r="A231" s="2">
        <v>230</v>
      </c>
      <c r="B231" s="3">
        <v>45039</v>
      </c>
      <c r="C231" s="4">
        <f t="shared" si="9"/>
        <v>2023</v>
      </c>
      <c r="D231" s="4" t="s">
        <v>277</v>
      </c>
      <c r="E231" s="4" t="s">
        <v>16</v>
      </c>
      <c r="F231" s="4">
        <v>54</v>
      </c>
      <c r="G231" s="4" t="str" cm="1">
        <f t="array" ref="G231">_xlfn.IFS(F231&lt;30,"Young Adult",F231&lt;50,"Adult",F231&gt;=50,"Senior")</f>
        <v>Senior</v>
      </c>
      <c r="H231" s="4" t="s">
        <v>17</v>
      </c>
      <c r="I231" s="4">
        <v>1</v>
      </c>
      <c r="J231" s="11">
        <v>25</v>
      </c>
      <c r="K231" s="13">
        <f>I231*J231</f>
        <v>25</v>
      </c>
      <c r="L231" s="19">
        <f t="shared" si="10"/>
        <v>0.375</v>
      </c>
      <c r="M231" s="19">
        <f t="shared" si="11"/>
        <v>0.5</v>
      </c>
      <c r="N231" s="13" cm="1">
        <f t="array" ref="N231">_xlfn.IFS(C231=2023,K231*$P$2,C231=2024,K231*$P$3)</f>
        <v>0.375</v>
      </c>
    </row>
    <row r="232" spans="1:14">
      <c r="A232" s="2">
        <v>231</v>
      </c>
      <c r="B232" s="3">
        <v>44930</v>
      </c>
      <c r="C232" s="4">
        <f t="shared" si="9"/>
        <v>2023</v>
      </c>
      <c r="D232" s="4" t="s">
        <v>278</v>
      </c>
      <c r="E232" s="4" t="s">
        <v>20</v>
      </c>
      <c r="F232" s="4">
        <v>23</v>
      </c>
      <c r="G232" s="4" t="str" cm="1">
        <f t="array" ref="G232">_xlfn.IFS(F232&lt;30,"Young Adult",F232&lt;50,"Adult",F232&gt;=50,"Senior")</f>
        <v>Young Adult</v>
      </c>
      <c r="H232" s="4" t="s">
        <v>21</v>
      </c>
      <c r="I232" s="4">
        <v>3</v>
      </c>
      <c r="J232" s="11">
        <v>50</v>
      </c>
      <c r="K232" s="13">
        <f>I232*J232</f>
        <v>150</v>
      </c>
      <c r="L232" s="19">
        <f t="shared" si="10"/>
        <v>2.25</v>
      </c>
      <c r="M232" s="19">
        <f t="shared" si="11"/>
        <v>3</v>
      </c>
      <c r="N232" s="13" cm="1">
        <f t="array" ref="N232">_xlfn.IFS(C232=2023,K232*$P$2,C232=2024,K232*$P$3)</f>
        <v>2.25</v>
      </c>
    </row>
    <row r="233" spans="1:14">
      <c r="A233" s="2">
        <v>232</v>
      </c>
      <c r="B233" s="3">
        <v>44963</v>
      </c>
      <c r="C233" s="4">
        <f t="shared" si="9"/>
        <v>2023</v>
      </c>
      <c r="D233" s="4" t="s">
        <v>279</v>
      </c>
      <c r="E233" s="4" t="s">
        <v>20</v>
      </c>
      <c r="F233" s="4">
        <v>43</v>
      </c>
      <c r="G233" s="4" t="str" cm="1">
        <f t="array" ref="G233">_xlfn.IFS(F233&lt;30,"Young Adult",F233&lt;50,"Adult",F233&gt;=50,"Senior")</f>
        <v>Adult</v>
      </c>
      <c r="H233" s="4" t="s">
        <v>17</v>
      </c>
      <c r="I233" s="4">
        <v>1</v>
      </c>
      <c r="J233" s="11">
        <v>25</v>
      </c>
      <c r="K233" s="13">
        <f>I233*J233</f>
        <v>25</v>
      </c>
      <c r="L233" s="19">
        <f t="shared" si="10"/>
        <v>0.375</v>
      </c>
      <c r="M233" s="19">
        <f t="shared" si="11"/>
        <v>0.5</v>
      </c>
      <c r="N233" s="13" cm="1">
        <f t="array" ref="N233">_xlfn.IFS(C233=2023,K233*$P$2,C233=2024,K233*$P$3)</f>
        <v>0.375</v>
      </c>
    </row>
    <row r="234" spans="1:14">
      <c r="A234" s="2">
        <v>233</v>
      </c>
      <c r="B234" s="3">
        <v>45289</v>
      </c>
      <c r="C234" s="4">
        <f t="shared" si="9"/>
        <v>2023</v>
      </c>
      <c r="D234" s="4" t="s">
        <v>280</v>
      </c>
      <c r="E234" s="4" t="s">
        <v>20</v>
      </c>
      <c r="F234" s="4">
        <v>51</v>
      </c>
      <c r="G234" s="4" t="str" cm="1">
        <f t="array" ref="G234">_xlfn.IFS(F234&lt;30,"Young Adult",F234&lt;50,"Adult",F234&gt;=50,"Senior")</f>
        <v>Senior</v>
      </c>
      <c r="H234" s="4" t="s">
        <v>17</v>
      </c>
      <c r="I234" s="4">
        <v>2</v>
      </c>
      <c r="J234" s="11">
        <v>300</v>
      </c>
      <c r="K234" s="13">
        <f>I234*J234</f>
        <v>600</v>
      </c>
      <c r="L234" s="19">
        <f t="shared" si="10"/>
        <v>9</v>
      </c>
      <c r="M234" s="19">
        <f t="shared" si="11"/>
        <v>12</v>
      </c>
      <c r="N234" s="13" cm="1">
        <f t="array" ref="N234">_xlfn.IFS(C234=2023,K234*$P$2,C234=2024,K234*$P$3)</f>
        <v>9</v>
      </c>
    </row>
    <row r="235" spans="1:14">
      <c r="A235" s="2">
        <v>234</v>
      </c>
      <c r="B235" s="3">
        <v>45250</v>
      </c>
      <c r="C235" s="4">
        <f t="shared" si="9"/>
        <v>2023</v>
      </c>
      <c r="D235" s="4" t="s">
        <v>281</v>
      </c>
      <c r="E235" s="4" t="s">
        <v>20</v>
      </c>
      <c r="F235" s="4">
        <v>62</v>
      </c>
      <c r="G235" s="4" t="str" cm="1">
        <f t="array" ref="G235">_xlfn.IFS(F235&lt;30,"Young Adult",F235&lt;50,"Adult",F235&gt;=50,"Senior")</f>
        <v>Senior</v>
      </c>
      <c r="H235" s="4" t="s">
        <v>24</v>
      </c>
      <c r="I235" s="4">
        <v>2</v>
      </c>
      <c r="J235" s="11">
        <v>25</v>
      </c>
      <c r="K235" s="13">
        <f>I235*J235</f>
        <v>50</v>
      </c>
      <c r="L235" s="19">
        <f t="shared" si="10"/>
        <v>0.75</v>
      </c>
      <c r="M235" s="19">
        <f t="shared" si="11"/>
        <v>1</v>
      </c>
      <c r="N235" s="13" cm="1">
        <f t="array" ref="N235">_xlfn.IFS(C235=2023,K235*$P$2,C235=2024,K235*$P$3)</f>
        <v>0.75</v>
      </c>
    </row>
    <row r="236" spans="1:14">
      <c r="A236" s="2">
        <v>235</v>
      </c>
      <c r="B236" s="3">
        <v>44957</v>
      </c>
      <c r="C236" s="4">
        <f t="shared" si="9"/>
        <v>2023</v>
      </c>
      <c r="D236" s="4" t="s">
        <v>282</v>
      </c>
      <c r="E236" s="4" t="s">
        <v>20</v>
      </c>
      <c r="F236" s="4">
        <v>23</v>
      </c>
      <c r="G236" s="4" t="str" cm="1">
        <f t="array" ref="G236">_xlfn.IFS(F236&lt;30,"Young Adult",F236&lt;50,"Adult",F236&gt;=50,"Senior")</f>
        <v>Young Adult</v>
      </c>
      <c r="H236" s="4" t="s">
        <v>24</v>
      </c>
      <c r="I236" s="4">
        <v>2</v>
      </c>
      <c r="J236" s="11">
        <v>500</v>
      </c>
      <c r="K236" s="13">
        <f>I236*J236</f>
        <v>1000</v>
      </c>
      <c r="L236" s="19">
        <f t="shared" si="10"/>
        <v>15</v>
      </c>
      <c r="M236" s="19">
        <f t="shared" si="11"/>
        <v>20</v>
      </c>
      <c r="N236" s="13" cm="1">
        <f t="array" ref="N236">_xlfn.IFS(C236=2023,K236*$P$2,C236=2024,K236*$P$3)</f>
        <v>15</v>
      </c>
    </row>
    <row r="237" spans="1:14">
      <c r="A237" s="2">
        <v>236</v>
      </c>
      <c r="B237" s="3">
        <v>45044</v>
      </c>
      <c r="C237" s="4">
        <f t="shared" si="9"/>
        <v>2023</v>
      </c>
      <c r="D237" s="4" t="s">
        <v>283</v>
      </c>
      <c r="E237" s="4" t="s">
        <v>20</v>
      </c>
      <c r="F237" s="4">
        <v>54</v>
      </c>
      <c r="G237" s="4" t="str" cm="1">
        <f t="array" ref="G237">_xlfn.IFS(F237&lt;30,"Young Adult",F237&lt;50,"Adult",F237&gt;=50,"Senior")</f>
        <v>Senior</v>
      </c>
      <c r="H237" s="4" t="s">
        <v>21</v>
      </c>
      <c r="I237" s="4">
        <v>1</v>
      </c>
      <c r="J237" s="11">
        <v>25</v>
      </c>
      <c r="K237" s="13">
        <f>I237*J237</f>
        <v>25</v>
      </c>
      <c r="L237" s="19">
        <f t="shared" si="10"/>
        <v>0.375</v>
      </c>
      <c r="M237" s="19">
        <f t="shared" si="11"/>
        <v>0.5</v>
      </c>
      <c r="N237" s="13" cm="1">
        <f t="array" ref="N237">_xlfn.IFS(C237=2023,K237*$P$2,C237=2024,K237*$P$3)</f>
        <v>0.375</v>
      </c>
    </row>
    <row r="238" spans="1:14">
      <c r="A238" s="2">
        <v>237</v>
      </c>
      <c r="B238" s="3">
        <v>44961</v>
      </c>
      <c r="C238" s="4">
        <f t="shared" si="9"/>
        <v>2023</v>
      </c>
      <c r="D238" s="4" t="s">
        <v>284</v>
      </c>
      <c r="E238" s="4" t="s">
        <v>20</v>
      </c>
      <c r="F238" s="4">
        <v>50</v>
      </c>
      <c r="G238" s="4" t="str" cm="1">
        <f t="array" ref="G238">_xlfn.IFS(F238&lt;30,"Young Adult",F238&lt;50,"Adult",F238&gt;=50,"Senior")</f>
        <v>Senior</v>
      </c>
      <c r="H238" s="4" t="s">
        <v>17</v>
      </c>
      <c r="I238" s="4">
        <v>2</v>
      </c>
      <c r="J238" s="11">
        <v>500</v>
      </c>
      <c r="K238" s="13">
        <f>I238*J238</f>
        <v>1000</v>
      </c>
      <c r="L238" s="19">
        <f t="shared" si="10"/>
        <v>15</v>
      </c>
      <c r="M238" s="19">
        <f t="shared" si="11"/>
        <v>20</v>
      </c>
      <c r="N238" s="13" cm="1">
        <f t="array" ref="N238">_xlfn.IFS(C238=2023,K238*$P$2,C238=2024,K238*$P$3)</f>
        <v>15</v>
      </c>
    </row>
    <row r="239" spans="1:14">
      <c r="A239" s="2">
        <v>238</v>
      </c>
      <c r="B239" s="3">
        <v>44943</v>
      </c>
      <c r="C239" s="4">
        <f t="shared" si="9"/>
        <v>2023</v>
      </c>
      <c r="D239" s="4" t="s">
        <v>285</v>
      </c>
      <c r="E239" s="4" t="s">
        <v>20</v>
      </c>
      <c r="F239" s="4">
        <v>39</v>
      </c>
      <c r="G239" s="4" t="str" cm="1">
        <f t="array" ref="G239">_xlfn.IFS(F239&lt;30,"Young Adult",F239&lt;50,"Adult",F239&gt;=50,"Senior")</f>
        <v>Adult</v>
      </c>
      <c r="H239" s="4" t="s">
        <v>17</v>
      </c>
      <c r="I239" s="4">
        <v>1</v>
      </c>
      <c r="J239" s="11">
        <v>500</v>
      </c>
      <c r="K239" s="13">
        <f>I239*J239</f>
        <v>500</v>
      </c>
      <c r="L239" s="19">
        <f t="shared" si="10"/>
        <v>7.5</v>
      </c>
      <c r="M239" s="19">
        <f t="shared" si="11"/>
        <v>10</v>
      </c>
      <c r="N239" s="13" cm="1">
        <f t="array" ref="N239">_xlfn.IFS(C239=2023,K239*$P$2,C239=2024,K239*$P$3)</f>
        <v>7.5</v>
      </c>
    </row>
    <row r="240" spans="1:14">
      <c r="A240" s="2">
        <v>239</v>
      </c>
      <c r="B240" s="3">
        <v>45096</v>
      </c>
      <c r="C240" s="4">
        <f t="shared" si="9"/>
        <v>2023</v>
      </c>
      <c r="D240" s="4" t="s">
        <v>286</v>
      </c>
      <c r="E240" s="4" t="s">
        <v>16</v>
      </c>
      <c r="F240" s="4">
        <v>38</v>
      </c>
      <c r="G240" s="4" t="str" cm="1">
        <f t="array" ref="G240">_xlfn.IFS(F240&lt;30,"Young Adult",F240&lt;50,"Adult",F240&gt;=50,"Senior")</f>
        <v>Adult</v>
      </c>
      <c r="H240" s="4" t="s">
        <v>24</v>
      </c>
      <c r="I240" s="4">
        <v>3</v>
      </c>
      <c r="J240" s="11">
        <v>500</v>
      </c>
      <c r="K240" s="13">
        <f>I240*J240</f>
        <v>1500</v>
      </c>
      <c r="L240" s="19">
        <f t="shared" si="10"/>
        <v>22.5</v>
      </c>
      <c r="M240" s="19">
        <f t="shared" si="11"/>
        <v>30</v>
      </c>
      <c r="N240" s="13" cm="1">
        <f t="array" ref="N240">_xlfn.IFS(C240=2023,K240*$P$2,C240=2024,K240*$P$3)</f>
        <v>22.5</v>
      </c>
    </row>
    <row r="241" spans="1:14">
      <c r="A241" s="2">
        <v>240</v>
      </c>
      <c r="B241" s="3">
        <v>44963</v>
      </c>
      <c r="C241" s="4">
        <f t="shared" si="9"/>
        <v>2023</v>
      </c>
      <c r="D241" s="4" t="s">
        <v>287</v>
      </c>
      <c r="E241" s="4" t="s">
        <v>20</v>
      </c>
      <c r="F241" s="4">
        <v>23</v>
      </c>
      <c r="G241" s="4" t="str" cm="1">
        <f t="array" ref="G241">_xlfn.IFS(F241&lt;30,"Young Adult",F241&lt;50,"Adult",F241&gt;=50,"Senior")</f>
        <v>Young Adult</v>
      </c>
      <c r="H241" s="4" t="s">
        <v>17</v>
      </c>
      <c r="I241" s="4">
        <v>1</v>
      </c>
      <c r="J241" s="11">
        <v>300</v>
      </c>
      <c r="K241" s="13">
        <f>I241*J241</f>
        <v>300</v>
      </c>
      <c r="L241" s="19">
        <f t="shared" si="10"/>
        <v>4.5</v>
      </c>
      <c r="M241" s="19">
        <f t="shared" si="11"/>
        <v>6</v>
      </c>
      <c r="N241" s="13" cm="1">
        <f t="array" ref="N241">_xlfn.IFS(C241=2023,K241*$P$2,C241=2024,K241*$P$3)</f>
        <v>4.5</v>
      </c>
    </row>
    <row r="242" spans="1:14">
      <c r="A242" s="2">
        <v>241</v>
      </c>
      <c r="B242" s="3">
        <v>45190</v>
      </c>
      <c r="C242" s="4">
        <f t="shared" si="9"/>
        <v>2023</v>
      </c>
      <c r="D242" s="4" t="s">
        <v>288</v>
      </c>
      <c r="E242" s="4" t="s">
        <v>20</v>
      </c>
      <c r="F242" s="4">
        <v>23</v>
      </c>
      <c r="G242" s="4" t="str" cm="1">
        <f t="array" ref="G242">_xlfn.IFS(F242&lt;30,"Young Adult",F242&lt;50,"Adult",F242&gt;=50,"Senior")</f>
        <v>Young Adult</v>
      </c>
      <c r="H242" s="4" t="s">
        <v>24</v>
      </c>
      <c r="I242" s="4">
        <v>3</v>
      </c>
      <c r="J242" s="11">
        <v>25</v>
      </c>
      <c r="K242" s="13">
        <f>I242*J242</f>
        <v>75</v>
      </c>
      <c r="L242" s="19">
        <f t="shared" si="10"/>
        <v>1.125</v>
      </c>
      <c r="M242" s="19">
        <f t="shared" si="11"/>
        <v>1.5</v>
      </c>
      <c r="N242" s="13" cm="1">
        <f t="array" ref="N242">_xlfn.IFS(C242=2023,K242*$P$2,C242=2024,K242*$P$3)</f>
        <v>1.125</v>
      </c>
    </row>
    <row r="243" spans="1:14">
      <c r="A243" s="2">
        <v>242</v>
      </c>
      <c r="B243" s="3">
        <v>45048</v>
      </c>
      <c r="C243" s="4">
        <f t="shared" si="9"/>
        <v>2023</v>
      </c>
      <c r="D243" s="4" t="s">
        <v>289</v>
      </c>
      <c r="E243" s="4" t="s">
        <v>16</v>
      </c>
      <c r="F243" s="4">
        <v>21</v>
      </c>
      <c r="G243" s="4" t="str" cm="1">
        <f t="array" ref="G243">_xlfn.IFS(F243&lt;30,"Young Adult",F243&lt;50,"Adult",F243&gt;=50,"Senior")</f>
        <v>Young Adult</v>
      </c>
      <c r="H243" s="4" t="s">
        <v>21</v>
      </c>
      <c r="I243" s="4">
        <v>1</v>
      </c>
      <c r="J243" s="11">
        <v>25</v>
      </c>
      <c r="K243" s="13">
        <f>I243*J243</f>
        <v>25</v>
      </c>
      <c r="L243" s="19">
        <f t="shared" si="10"/>
        <v>0.375</v>
      </c>
      <c r="M243" s="19">
        <f t="shared" si="11"/>
        <v>0.5</v>
      </c>
      <c r="N243" s="13" cm="1">
        <f t="array" ref="N243">_xlfn.IFS(C243=2023,K243*$P$2,C243=2024,K243*$P$3)</f>
        <v>0.375</v>
      </c>
    </row>
    <row r="244" spans="1:14">
      <c r="A244" s="2">
        <v>243</v>
      </c>
      <c r="B244" s="3">
        <v>45069</v>
      </c>
      <c r="C244" s="4">
        <f t="shared" si="9"/>
        <v>2023</v>
      </c>
      <c r="D244" s="4" t="s">
        <v>290</v>
      </c>
      <c r="E244" s="4" t="s">
        <v>20</v>
      </c>
      <c r="F244" s="4">
        <v>47</v>
      </c>
      <c r="G244" s="4" t="str" cm="1">
        <f t="array" ref="G244">_xlfn.IFS(F244&lt;30,"Young Adult",F244&lt;50,"Adult",F244&gt;=50,"Senior")</f>
        <v>Adult</v>
      </c>
      <c r="H244" s="4" t="s">
        <v>24</v>
      </c>
      <c r="I244" s="4">
        <v>3</v>
      </c>
      <c r="J244" s="11">
        <v>300</v>
      </c>
      <c r="K244" s="13">
        <f>I244*J244</f>
        <v>900</v>
      </c>
      <c r="L244" s="19">
        <f t="shared" si="10"/>
        <v>13.5</v>
      </c>
      <c r="M244" s="19">
        <f t="shared" si="11"/>
        <v>18</v>
      </c>
      <c r="N244" s="13" cm="1">
        <f t="array" ref="N244">_xlfn.IFS(C244=2023,K244*$P$2,C244=2024,K244*$P$3)</f>
        <v>13.5</v>
      </c>
    </row>
    <row r="245" spans="1:14">
      <c r="A245" s="2">
        <v>244</v>
      </c>
      <c r="B245" s="3">
        <v>45269</v>
      </c>
      <c r="C245" s="4">
        <f t="shared" si="9"/>
        <v>2023</v>
      </c>
      <c r="D245" s="4" t="s">
        <v>291</v>
      </c>
      <c r="E245" s="4" t="s">
        <v>16</v>
      </c>
      <c r="F245" s="4">
        <v>28</v>
      </c>
      <c r="G245" s="4" t="str" cm="1">
        <f t="array" ref="G245">_xlfn.IFS(F245&lt;30,"Young Adult",F245&lt;50,"Adult",F245&gt;=50,"Senior")</f>
        <v>Young Adult</v>
      </c>
      <c r="H245" s="4" t="s">
        <v>17</v>
      </c>
      <c r="I245" s="4">
        <v>2</v>
      </c>
      <c r="J245" s="11">
        <v>50</v>
      </c>
      <c r="K245" s="13">
        <f>I245*J245</f>
        <v>100</v>
      </c>
      <c r="L245" s="19">
        <f t="shared" si="10"/>
        <v>1.5</v>
      </c>
      <c r="M245" s="19">
        <f t="shared" si="11"/>
        <v>2</v>
      </c>
      <c r="N245" s="13" cm="1">
        <f t="array" ref="N245">_xlfn.IFS(C245=2023,K245*$P$2,C245=2024,K245*$P$3)</f>
        <v>1.5</v>
      </c>
    </row>
    <row r="246" spans="1:14">
      <c r="A246" s="2">
        <v>245</v>
      </c>
      <c r="B246" s="3">
        <v>45175</v>
      </c>
      <c r="C246" s="4">
        <f t="shared" si="9"/>
        <v>2023</v>
      </c>
      <c r="D246" s="4" t="s">
        <v>292</v>
      </c>
      <c r="E246" s="4" t="s">
        <v>16</v>
      </c>
      <c r="F246" s="4">
        <v>47</v>
      </c>
      <c r="G246" s="4" t="str" cm="1">
        <f t="array" ref="G246">_xlfn.IFS(F246&lt;30,"Young Adult",F246&lt;50,"Adult",F246&gt;=50,"Senior")</f>
        <v>Adult</v>
      </c>
      <c r="H246" s="4" t="s">
        <v>21</v>
      </c>
      <c r="I246" s="4">
        <v>3</v>
      </c>
      <c r="J246" s="11">
        <v>30</v>
      </c>
      <c r="K246" s="13">
        <f>I246*J246</f>
        <v>90</v>
      </c>
      <c r="L246" s="19">
        <f t="shared" si="10"/>
        <v>1.3499999999999999</v>
      </c>
      <c r="M246" s="19">
        <f t="shared" si="11"/>
        <v>1.8</v>
      </c>
      <c r="N246" s="13" cm="1">
        <f t="array" ref="N246">_xlfn.IFS(C246=2023,K246*$P$2,C246=2024,K246*$P$3)</f>
        <v>1.3499999999999999</v>
      </c>
    </row>
    <row r="247" spans="1:14">
      <c r="A247" s="2">
        <v>246</v>
      </c>
      <c r="B247" s="3">
        <v>45036</v>
      </c>
      <c r="C247" s="4">
        <f t="shared" si="9"/>
        <v>2023</v>
      </c>
      <c r="D247" s="4" t="s">
        <v>293</v>
      </c>
      <c r="E247" s="4" t="s">
        <v>20</v>
      </c>
      <c r="F247" s="4">
        <v>48</v>
      </c>
      <c r="G247" s="4" t="str" cm="1">
        <f t="array" ref="G247">_xlfn.IFS(F247&lt;30,"Young Adult",F247&lt;50,"Adult",F247&gt;=50,"Senior")</f>
        <v>Adult</v>
      </c>
      <c r="H247" s="4" t="s">
        <v>24</v>
      </c>
      <c r="I247" s="4">
        <v>2</v>
      </c>
      <c r="J247" s="11">
        <v>25</v>
      </c>
      <c r="K247" s="13">
        <f>I247*J247</f>
        <v>50</v>
      </c>
      <c r="L247" s="19">
        <f t="shared" si="10"/>
        <v>0.75</v>
      </c>
      <c r="M247" s="19">
        <f t="shared" si="11"/>
        <v>1</v>
      </c>
      <c r="N247" s="13" cm="1">
        <f t="array" ref="N247">_xlfn.IFS(C247=2023,K247*$P$2,C247=2024,K247*$P$3)</f>
        <v>0.75</v>
      </c>
    </row>
    <row r="248" spans="1:14">
      <c r="A248" s="2">
        <v>247</v>
      </c>
      <c r="B248" s="3">
        <v>45203</v>
      </c>
      <c r="C248" s="4">
        <f t="shared" si="9"/>
        <v>2023</v>
      </c>
      <c r="D248" s="4" t="s">
        <v>294</v>
      </c>
      <c r="E248" s="4" t="s">
        <v>16</v>
      </c>
      <c r="F248" s="4">
        <v>41</v>
      </c>
      <c r="G248" s="4" t="str" cm="1">
        <f t="array" ref="G248">_xlfn.IFS(F248&lt;30,"Young Adult",F248&lt;50,"Adult",F248&gt;=50,"Senior")</f>
        <v>Adult</v>
      </c>
      <c r="H248" s="4" t="s">
        <v>24</v>
      </c>
      <c r="I248" s="4">
        <v>2</v>
      </c>
      <c r="J248" s="11">
        <v>30</v>
      </c>
      <c r="K248" s="13">
        <f>I248*J248</f>
        <v>60</v>
      </c>
      <c r="L248" s="19">
        <f t="shared" si="10"/>
        <v>0.89999999999999991</v>
      </c>
      <c r="M248" s="19">
        <f t="shared" si="11"/>
        <v>1.2</v>
      </c>
      <c r="N248" s="13" cm="1">
        <f t="array" ref="N248">_xlfn.IFS(C248=2023,K248*$P$2,C248=2024,K248*$P$3)</f>
        <v>0.89999999999999991</v>
      </c>
    </row>
    <row r="249" spans="1:14">
      <c r="A249" s="2">
        <v>248</v>
      </c>
      <c r="B249" s="3">
        <v>44994</v>
      </c>
      <c r="C249" s="4">
        <f t="shared" si="9"/>
        <v>2023</v>
      </c>
      <c r="D249" s="4" t="s">
        <v>295</v>
      </c>
      <c r="E249" s="4" t="s">
        <v>16</v>
      </c>
      <c r="F249" s="4">
        <v>26</v>
      </c>
      <c r="G249" s="4" t="str" cm="1">
        <f t="array" ref="G249">_xlfn.IFS(F249&lt;30,"Young Adult",F249&lt;50,"Adult",F249&gt;=50,"Senior")</f>
        <v>Young Adult</v>
      </c>
      <c r="H249" s="4" t="s">
        <v>21</v>
      </c>
      <c r="I249" s="4">
        <v>3</v>
      </c>
      <c r="J249" s="11">
        <v>300</v>
      </c>
      <c r="K249" s="13">
        <f>I249*J249</f>
        <v>900</v>
      </c>
      <c r="L249" s="19">
        <f t="shared" si="10"/>
        <v>13.5</v>
      </c>
      <c r="M249" s="19">
        <f t="shared" si="11"/>
        <v>18</v>
      </c>
      <c r="N249" s="13" cm="1">
        <f t="array" ref="N249">_xlfn.IFS(C249=2023,K249*$P$2,C249=2024,K249*$P$3)</f>
        <v>13.5</v>
      </c>
    </row>
    <row r="250" spans="1:14">
      <c r="A250" s="2">
        <v>249</v>
      </c>
      <c r="B250" s="3">
        <v>45219</v>
      </c>
      <c r="C250" s="4">
        <f t="shared" si="9"/>
        <v>2023</v>
      </c>
      <c r="D250" s="4" t="s">
        <v>296</v>
      </c>
      <c r="E250" s="4" t="s">
        <v>16</v>
      </c>
      <c r="F250" s="4">
        <v>20</v>
      </c>
      <c r="G250" s="4" t="str" cm="1">
        <f t="array" ref="G250">_xlfn.IFS(F250&lt;30,"Young Adult",F250&lt;50,"Adult",F250&gt;=50,"Senior")</f>
        <v>Young Adult</v>
      </c>
      <c r="H250" s="4" t="s">
        <v>21</v>
      </c>
      <c r="I250" s="4">
        <v>1</v>
      </c>
      <c r="J250" s="11">
        <v>50</v>
      </c>
      <c r="K250" s="13">
        <f>I250*J250</f>
        <v>50</v>
      </c>
      <c r="L250" s="19">
        <f t="shared" si="10"/>
        <v>0.75</v>
      </c>
      <c r="M250" s="19">
        <f t="shared" si="11"/>
        <v>1</v>
      </c>
      <c r="N250" s="13" cm="1">
        <f t="array" ref="N250">_xlfn.IFS(C250=2023,K250*$P$2,C250=2024,K250*$P$3)</f>
        <v>0.75</v>
      </c>
    </row>
    <row r="251" spans="1:14">
      <c r="A251" s="2">
        <v>250</v>
      </c>
      <c r="B251" s="3">
        <v>45222</v>
      </c>
      <c r="C251" s="4">
        <f t="shared" si="9"/>
        <v>2023</v>
      </c>
      <c r="D251" s="4" t="s">
        <v>297</v>
      </c>
      <c r="E251" s="4" t="s">
        <v>16</v>
      </c>
      <c r="F251" s="4">
        <v>48</v>
      </c>
      <c r="G251" s="4" t="str" cm="1">
        <f t="array" ref="G251">_xlfn.IFS(F251&lt;30,"Young Adult",F251&lt;50,"Adult",F251&gt;=50,"Senior")</f>
        <v>Adult</v>
      </c>
      <c r="H251" s="4" t="s">
        <v>24</v>
      </c>
      <c r="I251" s="4">
        <v>1</v>
      </c>
      <c r="J251" s="11">
        <v>50</v>
      </c>
      <c r="K251" s="13">
        <f>I251*J251</f>
        <v>50</v>
      </c>
      <c r="L251" s="19">
        <f t="shared" si="10"/>
        <v>0.75</v>
      </c>
      <c r="M251" s="19">
        <f t="shared" si="11"/>
        <v>1</v>
      </c>
      <c r="N251" s="13" cm="1">
        <f t="array" ref="N251">_xlfn.IFS(C251=2023,K251*$P$2,C251=2024,K251*$P$3)</f>
        <v>0.75</v>
      </c>
    </row>
    <row r="252" spans="1:14">
      <c r="A252" s="2">
        <v>251</v>
      </c>
      <c r="B252" s="3">
        <v>45169</v>
      </c>
      <c r="C252" s="4">
        <f t="shared" si="9"/>
        <v>2023</v>
      </c>
      <c r="D252" s="4" t="s">
        <v>298</v>
      </c>
      <c r="E252" s="4" t="s">
        <v>20</v>
      </c>
      <c r="F252" s="4">
        <v>57</v>
      </c>
      <c r="G252" s="4" t="str" cm="1">
        <f t="array" ref="G252">_xlfn.IFS(F252&lt;30,"Young Adult",F252&lt;50,"Adult",F252&gt;=50,"Senior")</f>
        <v>Senior</v>
      </c>
      <c r="H252" s="4" t="s">
        <v>17</v>
      </c>
      <c r="I252" s="4">
        <v>4</v>
      </c>
      <c r="J252" s="11">
        <v>50</v>
      </c>
      <c r="K252" s="13">
        <f>I252*J252</f>
        <v>200</v>
      </c>
      <c r="L252" s="19">
        <f t="shared" si="10"/>
        <v>3</v>
      </c>
      <c r="M252" s="19">
        <f t="shared" si="11"/>
        <v>4</v>
      </c>
      <c r="N252" s="13" cm="1">
        <f t="array" ref="N252">_xlfn.IFS(C252=2023,K252*$P$2,C252=2024,K252*$P$3)</f>
        <v>3</v>
      </c>
    </row>
    <row r="253" spans="1:14">
      <c r="A253" s="2">
        <v>252</v>
      </c>
      <c r="B253" s="3">
        <v>45051</v>
      </c>
      <c r="C253" s="4">
        <f t="shared" si="9"/>
        <v>2023</v>
      </c>
      <c r="D253" s="4" t="s">
        <v>299</v>
      </c>
      <c r="E253" s="4" t="s">
        <v>16</v>
      </c>
      <c r="F253" s="4">
        <v>54</v>
      </c>
      <c r="G253" s="4" t="str" cm="1">
        <f t="array" ref="G253">_xlfn.IFS(F253&lt;30,"Young Adult",F253&lt;50,"Adult",F253&gt;=50,"Senior")</f>
        <v>Senior</v>
      </c>
      <c r="H253" s="4" t="s">
        <v>24</v>
      </c>
      <c r="I253" s="4">
        <v>1</v>
      </c>
      <c r="J253" s="11">
        <v>300</v>
      </c>
      <c r="K253" s="13">
        <f>I253*J253</f>
        <v>300</v>
      </c>
      <c r="L253" s="19">
        <f t="shared" si="10"/>
        <v>4.5</v>
      </c>
      <c r="M253" s="19">
        <f t="shared" si="11"/>
        <v>6</v>
      </c>
      <c r="N253" s="13" cm="1">
        <f t="array" ref="N253">_xlfn.IFS(C253=2023,K253*$P$2,C253=2024,K253*$P$3)</f>
        <v>4.5</v>
      </c>
    </row>
    <row r="254" spans="1:14">
      <c r="A254" s="2">
        <v>253</v>
      </c>
      <c r="B254" s="3">
        <v>45169</v>
      </c>
      <c r="C254" s="4">
        <f t="shared" si="9"/>
        <v>2023</v>
      </c>
      <c r="D254" s="4" t="s">
        <v>300</v>
      </c>
      <c r="E254" s="4" t="s">
        <v>20</v>
      </c>
      <c r="F254" s="4">
        <v>53</v>
      </c>
      <c r="G254" s="4" t="str" cm="1">
        <f t="array" ref="G254">_xlfn.IFS(F254&lt;30,"Young Adult",F254&lt;50,"Adult",F254&gt;=50,"Senior")</f>
        <v>Senior</v>
      </c>
      <c r="H254" s="4" t="s">
        <v>21</v>
      </c>
      <c r="I254" s="4">
        <v>4</v>
      </c>
      <c r="J254" s="11">
        <v>500</v>
      </c>
      <c r="K254" s="13">
        <f>I254*J254</f>
        <v>2000</v>
      </c>
      <c r="L254" s="19">
        <f t="shared" si="10"/>
        <v>30</v>
      </c>
      <c r="M254" s="19">
        <f t="shared" si="11"/>
        <v>40</v>
      </c>
      <c r="N254" s="13" cm="1">
        <f t="array" ref="N254">_xlfn.IFS(C254=2023,K254*$P$2,C254=2024,K254*$P$3)</f>
        <v>30</v>
      </c>
    </row>
    <row r="255" spans="1:14">
      <c r="A255" s="2">
        <v>254</v>
      </c>
      <c r="B255" s="3">
        <v>45135</v>
      </c>
      <c r="C255" s="4">
        <f t="shared" si="9"/>
        <v>2023</v>
      </c>
      <c r="D255" s="4" t="s">
        <v>301</v>
      </c>
      <c r="E255" s="4" t="s">
        <v>16</v>
      </c>
      <c r="F255" s="4">
        <v>41</v>
      </c>
      <c r="G255" s="4" t="str" cm="1">
        <f t="array" ref="G255">_xlfn.IFS(F255&lt;30,"Young Adult",F255&lt;50,"Adult",F255&gt;=50,"Senior")</f>
        <v>Adult</v>
      </c>
      <c r="H255" s="4" t="s">
        <v>24</v>
      </c>
      <c r="I255" s="4">
        <v>1</v>
      </c>
      <c r="J255" s="11">
        <v>500</v>
      </c>
      <c r="K255" s="13">
        <f>I255*J255</f>
        <v>500</v>
      </c>
      <c r="L255" s="19">
        <f t="shared" si="10"/>
        <v>7.5</v>
      </c>
      <c r="M255" s="19">
        <f t="shared" si="11"/>
        <v>10</v>
      </c>
      <c r="N255" s="13" cm="1">
        <f t="array" ref="N255">_xlfn.IFS(C255=2023,K255*$P$2,C255=2024,K255*$P$3)</f>
        <v>7.5</v>
      </c>
    </row>
    <row r="256" spans="1:14">
      <c r="A256" s="2">
        <v>255</v>
      </c>
      <c r="B256" s="3">
        <v>45024</v>
      </c>
      <c r="C256" s="4">
        <f t="shared" si="9"/>
        <v>2023</v>
      </c>
      <c r="D256" s="4" t="s">
        <v>302</v>
      </c>
      <c r="E256" s="4" t="s">
        <v>16</v>
      </c>
      <c r="F256" s="4">
        <v>48</v>
      </c>
      <c r="G256" s="4" t="str" cm="1">
        <f t="array" ref="G256">_xlfn.IFS(F256&lt;30,"Young Adult",F256&lt;50,"Adult",F256&gt;=50,"Senior")</f>
        <v>Adult</v>
      </c>
      <c r="H256" s="4" t="s">
        <v>21</v>
      </c>
      <c r="I256" s="4">
        <v>1</v>
      </c>
      <c r="J256" s="11">
        <v>30</v>
      </c>
      <c r="K256" s="13">
        <f>I256*J256</f>
        <v>30</v>
      </c>
      <c r="L256" s="19">
        <f t="shared" si="10"/>
        <v>0.44999999999999996</v>
      </c>
      <c r="M256" s="19">
        <f t="shared" si="11"/>
        <v>0.6</v>
      </c>
      <c r="N256" s="13" cm="1">
        <f t="array" ref="N256">_xlfn.IFS(C256=2023,K256*$P$2,C256=2024,K256*$P$3)</f>
        <v>0.44999999999999996</v>
      </c>
    </row>
    <row r="257" spans="1:14">
      <c r="A257" s="2">
        <v>256</v>
      </c>
      <c r="B257" s="3">
        <v>44975</v>
      </c>
      <c r="C257" s="4">
        <f t="shared" si="9"/>
        <v>2023</v>
      </c>
      <c r="D257" s="4" t="s">
        <v>303</v>
      </c>
      <c r="E257" s="4" t="s">
        <v>16</v>
      </c>
      <c r="F257" s="4">
        <v>23</v>
      </c>
      <c r="G257" s="4" t="str" cm="1">
        <f t="array" ref="G257">_xlfn.IFS(F257&lt;30,"Young Adult",F257&lt;50,"Adult",F257&gt;=50,"Senior")</f>
        <v>Young Adult</v>
      </c>
      <c r="H257" s="4" t="s">
        <v>21</v>
      </c>
      <c r="I257" s="4">
        <v>2</v>
      </c>
      <c r="J257" s="11">
        <v>500</v>
      </c>
      <c r="K257" s="13">
        <f>I257*J257</f>
        <v>1000</v>
      </c>
      <c r="L257" s="19">
        <f t="shared" si="10"/>
        <v>15</v>
      </c>
      <c r="M257" s="19">
        <f t="shared" si="11"/>
        <v>20</v>
      </c>
      <c r="N257" s="13" cm="1">
        <f t="array" ref="N257">_xlfn.IFS(C257=2023,K257*$P$2,C257=2024,K257*$P$3)</f>
        <v>15</v>
      </c>
    </row>
    <row r="258" spans="1:14">
      <c r="A258" s="2">
        <v>257</v>
      </c>
      <c r="B258" s="3">
        <v>44976</v>
      </c>
      <c r="C258" s="4">
        <f t="shared" si="9"/>
        <v>2023</v>
      </c>
      <c r="D258" s="4" t="s">
        <v>304</v>
      </c>
      <c r="E258" s="4" t="s">
        <v>16</v>
      </c>
      <c r="F258" s="4">
        <v>19</v>
      </c>
      <c r="G258" s="4" t="str" cm="1">
        <f t="array" ref="G258">_xlfn.IFS(F258&lt;30,"Young Adult",F258&lt;50,"Adult",F258&gt;=50,"Senior")</f>
        <v>Young Adult</v>
      </c>
      <c r="H258" s="4" t="s">
        <v>17</v>
      </c>
      <c r="I258" s="4">
        <v>4</v>
      </c>
      <c r="J258" s="11">
        <v>500</v>
      </c>
      <c r="K258" s="13">
        <f>I258*J258</f>
        <v>2000</v>
      </c>
      <c r="L258" s="19">
        <f t="shared" si="10"/>
        <v>30</v>
      </c>
      <c r="M258" s="19">
        <f t="shared" si="11"/>
        <v>40</v>
      </c>
      <c r="N258" s="13" cm="1">
        <f t="array" ref="N258">_xlfn.IFS(C258=2023,K258*$P$2,C258=2024,K258*$P$3)</f>
        <v>30</v>
      </c>
    </row>
    <row r="259" spans="1:14">
      <c r="A259" s="2">
        <v>258</v>
      </c>
      <c r="B259" s="3">
        <v>45264</v>
      </c>
      <c r="C259" s="4">
        <f t="shared" ref="C259:C322" si="12">YEAR(B259)</f>
        <v>2023</v>
      </c>
      <c r="D259" s="4" t="s">
        <v>305</v>
      </c>
      <c r="E259" s="4" t="s">
        <v>20</v>
      </c>
      <c r="F259" s="4">
        <v>37</v>
      </c>
      <c r="G259" s="4" t="str" cm="1">
        <f t="array" ref="G259">_xlfn.IFS(F259&lt;30,"Young Adult",F259&lt;50,"Adult",F259&gt;=50,"Senior")</f>
        <v>Adult</v>
      </c>
      <c r="H259" s="4" t="s">
        <v>21</v>
      </c>
      <c r="I259" s="4">
        <v>1</v>
      </c>
      <c r="J259" s="11">
        <v>50</v>
      </c>
      <c r="K259" s="13">
        <f>I259*J259</f>
        <v>50</v>
      </c>
      <c r="L259" s="19">
        <f t="shared" ref="L259:L322" si="13">K259*$P$2</f>
        <v>0.75</v>
      </c>
      <c r="M259" s="19">
        <f t="shared" ref="M259:M322" si="14">K259*$P$3</f>
        <v>1</v>
      </c>
      <c r="N259" s="13" cm="1">
        <f t="array" ref="N259">_xlfn.IFS(C259=2023,K259*$P$2,C259=2024,K259*$P$3)</f>
        <v>0.75</v>
      </c>
    </row>
    <row r="260" spans="1:14">
      <c r="A260" s="2">
        <v>259</v>
      </c>
      <c r="B260" s="3">
        <v>45147</v>
      </c>
      <c r="C260" s="4">
        <f t="shared" si="12"/>
        <v>2023</v>
      </c>
      <c r="D260" s="4" t="s">
        <v>306</v>
      </c>
      <c r="E260" s="4" t="s">
        <v>20</v>
      </c>
      <c r="F260" s="4">
        <v>45</v>
      </c>
      <c r="G260" s="4" t="str" cm="1">
        <f t="array" ref="G260">_xlfn.IFS(F260&lt;30,"Young Adult",F260&lt;50,"Adult",F260&gt;=50,"Senior")</f>
        <v>Adult</v>
      </c>
      <c r="H260" s="4" t="s">
        <v>21</v>
      </c>
      <c r="I260" s="4">
        <v>4</v>
      </c>
      <c r="J260" s="11">
        <v>50</v>
      </c>
      <c r="K260" s="13">
        <f>I260*J260</f>
        <v>200</v>
      </c>
      <c r="L260" s="19">
        <f t="shared" si="13"/>
        <v>3</v>
      </c>
      <c r="M260" s="19">
        <f t="shared" si="14"/>
        <v>4</v>
      </c>
      <c r="N260" s="13" cm="1">
        <f t="array" ref="N260">_xlfn.IFS(C260=2023,K260*$P$2,C260=2024,K260*$P$3)</f>
        <v>3</v>
      </c>
    </row>
    <row r="261" spans="1:14">
      <c r="A261" s="2">
        <v>260</v>
      </c>
      <c r="B261" s="3">
        <v>45108</v>
      </c>
      <c r="C261" s="4">
        <f t="shared" si="12"/>
        <v>2023</v>
      </c>
      <c r="D261" s="4" t="s">
        <v>307</v>
      </c>
      <c r="E261" s="4" t="s">
        <v>16</v>
      </c>
      <c r="F261" s="4">
        <v>28</v>
      </c>
      <c r="G261" s="4" t="str" cm="1">
        <f t="array" ref="G261">_xlfn.IFS(F261&lt;30,"Young Adult",F261&lt;50,"Adult",F261&gt;=50,"Senior")</f>
        <v>Young Adult</v>
      </c>
      <c r="H261" s="4" t="s">
        <v>17</v>
      </c>
      <c r="I261" s="4">
        <v>2</v>
      </c>
      <c r="J261" s="11">
        <v>30</v>
      </c>
      <c r="K261" s="13">
        <f>I261*J261</f>
        <v>60</v>
      </c>
      <c r="L261" s="19">
        <f t="shared" si="13"/>
        <v>0.89999999999999991</v>
      </c>
      <c r="M261" s="19">
        <f t="shared" si="14"/>
        <v>1.2</v>
      </c>
      <c r="N261" s="13" cm="1">
        <f t="array" ref="N261">_xlfn.IFS(C261=2023,K261*$P$2,C261=2024,K261*$P$3)</f>
        <v>0.89999999999999991</v>
      </c>
    </row>
    <row r="262" spans="1:14">
      <c r="A262" s="2">
        <v>261</v>
      </c>
      <c r="B262" s="3">
        <v>45143</v>
      </c>
      <c r="C262" s="4">
        <f t="shared" si="12"/>
        <v>2023</v>
      </c>
      <c r="D262" s="4" t="s">
        <v>308</v>
      </c>
      <c r="E262" s="4" t="s">
        <v>16</v>
      </c>
      <c r="F262" s="4">
        <v>21</v>
      </c>
      <c r="G262" s="4" t="str" cm="1">
        <f t="array" ref="G262">_xlfn.IFS(F262&lt;30,"Young Adult",F262&lt;50,"Adult",F262&gt;=50,"Senior")</f>
        <v>Young Adult</v>
      </c>
      <c r="H262" s="4" t="s">
        <v>21</v>
      </c>
      <c r="I262" s="4">
        <v>2</v>
      </c>
      <c r="J262" s="11">
        <v>25</v>
      </c>
      <c r="K262" s="13">
        <f>I262*J262</f>
        <v>50</v>
      </c>
      <c r="L262" s="19">
        <f t="shared" si="13"/>
        <v>0.75</v>
      </c>
      <c r="M262" s="19">
        <f t="shared" si="14"/>
        <v>1</v>
      </c>
      <c r="N262" s="13" cm="1">
        <f t="array" ref="N262">_xlfn.IFS(C262=2023,K262*$P$2,C262=2024,K262*$P$3)</f>
        <v>0.75</v>
      </c>
    </row>
    <row r="263" spans="1:14">
      <c r="A263" s="2">
        <v>262</v>
      </c>
      <c r="B263" s="3">
        <v>45137</v>
      </c>
      <c r="C263" s="4">
        <f t="shared" si="12"/>
        <v>2023</v>
      </c>
      <c r="D263" s="4" t="s">
        <v>309</v>
      </c>
      <c r="E263" s="4" t="s">
        <v>20</v>
      </c>
      <c r="F263" s="4">
        <v>32</v>
      </c>
      <c r="G263" s="4" t="str" cm="1">
        <f t="array" ref="G263">_xlfn.IFS(F263&lt;30,"Young Adult",F263&lt;50,"Adult",F263&gt;=50,"Senior")</f>
        <v>Adult</v>
      </c>
      <c r="H263" s="4" t="s">
        <v>17</v>
      </c>
      <c r="I263" s="4">
        <v>4</v>
      </c>
      <c r="J263" s="11">
        <v>30</v>
      </c>
      <c r="K263" s="13">
        <f>I263*J263</f>
        <v>120</v>
      </c>
      <c r="L263" s="19">
        <f t="shared" si="13"/>
        <v>1.7999999999999998</v>
      </c>
      <c r="M263" s="19">
        <f t="shared" si="14"/>
        <v>2.4</v>
      </c>
      <c r="N263" s="13" cm="1">
        <f t="array" ref="N263">_xlfn.IFS(C263=2023,K263*$P$2,C263=2024,K263*$P$3)</f>
        <v>1.7999999999999998</v>
      </c>
    </row>
    <row r="264" spans="1:14">
      <c r="A264" s="2">
        <v>263</v>
      </c>
      <c r="B264" s="3">
        <v>45166</v>
      </c>
      <c r="C264" s="4">
        <f t="shared" si="12"/>
        <v>2023</v>
      </c>
      <c r="D264" s="4" t="s">
        <v>310</v>
      </c>
      <c r="E264" s="4" t="s">
        <v>16</v>
      </c>
      <c r="F264" s="4">
        <v>23</v>
      </c>
      <c r="G264" s="4" t="str" cm="1">
        <f t="array" ref="G264">_xlfn.IFS(F264&lt;30,"Young Adult",F264&lt;50,"Adult",F264&gt;=50,"Senior")</f>
        <v>Young Adult</v>
      </c>
      <c r="H264" s="4" t="s">
        <v>17</v>
      </c>
      <c r="I264" s="4">
        <v>2</v>
      </c>
      <c r="J264" s="11">
        <v>30</v>
      </c>
      <c r="K264" s="13">
        <f>I264*J264</f>
        <v>60</v>
      </c>
      <c r="L264" s="19">
        <f t="shared" si="13"/>
        <v>0.89999999999999991</v>
      </c>
      <c r="M264" s="19">
        <f t="shared" si="14"/>
        <v>1.2</v>
      </c>
      <c r="N264" s="13" cm="1">
        <f t="array" ref="N264">_xlfn.IFS(C264=2023,K264*$P$2,C264=2024,K264*$P$3)</f>
        <v>0.89999999999999991</v>
      </c>
    </row>
    <row r="265" spans="1:14">
      <c r="A265" s="2">
        <v>264</v>
      </c>
      <c r="B265" s="3">
        <v>44954</v>
      </c>
      <c r="C265" s="4">
        <f t="shared" si="12"/>
        <v>2023</v>
      </c>
      <c r="D265" s="4" t="s">
        <v>311</v>
      </c>
      <c r="E265" s="4" t="s">
        <v>16</v>
      </c>
      <c r="F265" s="4">
        <v>47</v>
      </c>
      <c r="G265" s="4" t="str" cm="1">
        <f t="array" ref="G265">_xlfn.IFS(F265&lt;30,"Young Adult",F265&lt;50,"Adult",F265&gt;=50,"Senior")</f>
        <v>Adult</v>
      </c>
      <c r="H265" s="4" t="s">
        <v>21</v>
      </c>
      <c r="I265" s="4">
        <v>3</v>
      </c>
      <c r="J265" s="11">
        <v>300</v>
      </c>
      <c r="K265" s="13">
        <f>I265*J265</f>
        <v>900</v>
      </c>
      <c r="L265" s="19">
        <f t="shared" si="13"/>
        <v>13.5</v>
      </c>
      <c r="M265" s="19">
        <f t="shared" si="14"/>
        <v>18</v>
      </c>
      <c r="N265" s="13" cm="1">
        <f t="array" ref="N265">_xlfn.IFS(C265=2023,K265*$P$2,C265=2024,K265*$P$3)</f>
        <v>13.5</v>
      </c>
    </row>
    <row r="266" spans="1:14">
      <c r="A266" s="2">
        <v>265</v>
      </c>
      <c r="B266" s="3">
        <v>45271</v>
      </c>
      <c r="C266" s="4">
        <f t="shared" si="12"/>
        <v>2023</v>
      </c>
      <c r="D266" s="4" t="s">
        <v>312</v>
      </c>
      <c r="E266" s="4" t="s">
        <v>16</v>
      </c>
      <c r="F266" s="4">
        <v>55</v>
      </c>
      <c r="G266" s="4" t="str" cm="1">
        <f t="array" ref="G266">_xlfn.IFS(F266&lt;30,"Young Adult",F266&lt;50,"Adult",F266&gt;=50,"Senior")</f>
        <v>Senior</v>
      </c>
      <c r="H266" s="4" t="s">
        <v>21</v>
      </c>
      <c r="I266" s="4">
        <v>3</v>
      </c>
      <c r="J266" s="11">
        <v>300</v>
      </c>
      <c r="K266" s="13">
        <f>I266*J266</f>
        <v>900</v>
      </c>
      <c r="L266" s="19">
        <f t="shared" si="13"/>
        <v>13.5</v>
      </c>
      <c r="M266" s="19">
        <f t="shared" si="14"/>
        <v>18</v>
      </c>
      <c r="N266" s="13" cm="1">
        <f t="array" ref="N266">_xlfn.IFS(C266=2023,K266*$P$2,C266=2024,K266*$P$3)</f>
        <v>13.5</v>
      </c>
    </row>
    <row r="267" spans="1:14">
      <c r="A267" s="2">
        <v>266</v>
      </c>
      <c r="B267" s="3">
        <v>45261</v>
      </c>
      <c r="C267" s="4">
        <f t="shared" si="12"/>
        <v>2023</v>
      </c>
      <c r="D267" s="4" t="s">
        <v>313</v>
      </c>
      <c r="E267" s="4" t="s">
        <v>20</v>
      </c>
      <c r="F267" s="4">
        <v>19</v>
      </c>
      <c r="G267" s="4" t="str" cm="1">
        <f t="array" ref="G267">_xlfn.IFS(F267&lt;30,"Young Adult",F267&lt;50,"Adult",F267&gt;=50,"Senior")</f>
        <v>Young Adult</v>
      </c>
      <c r="H267" s="4" t="s">
        <v>24</v>
      </c>
      <c r="I267" s="4">
        <v>2</v>
      </c>
      <c r="J267" s="11">
        <v>30</v>
      </c>
      <c r="K267" s="13">
        <f>I267*J267</f>
        <v>60</v>
      </c>
      <c r="L267" s="19">
        <f t="shared" si="13"/>
        <v>0.89999999999999991</v>
      </c>
      <c r="M267" s="19">
        <f t="shared" si="14"/>
        <v>1.2</v>
      </c>
      <c r="N267" s="13" cm="1">
        <f t="array" ref="N267">_xlfn.IFS(C267=2023,K267*$P$2,C267=2024,K267*$P$3)</f>
        <v>0.89999999999999991</v>
      </c>
    </row>
    <row r="268" spans="1:14">
      <c r="A268" s="2">
        <v>267</v>
      </c>
      <c r="B268" s="3">
        <v>45257</v>
      </c>
      <c r="C268" s="4">
        <f t="shared" si="12"/>
        <v>2023</v>
      </c>
      <c r="D268" s="4" t="s">
        <v>314</v>
      </c>
      <c r="E268" s="4" t="s">
        <v>20</v>
      </c>
      <c r="F268" s="4">
        <v>32</v>
      </c>
      <c r="G268" s="4" t="str" cm="1">
        <f t="array" ref="G268">_xlfn.IFS(F268&lt;30,"Young Adult",F268&lt;50,"Adult",F268&gt;=50,"Senior")</f>
        <v>Adult</v>
      </c>
      <c r="H268" s="4" t="s">
        <v>17</v>
      </c>
      <c r="I268" s="4">
        <v>3</v>
      </c>
      <c r="J268" s="11">
        <v>30</v>
      </c>
      <c r="K268" s="13">
        <f>I268*J268</f>
        <v>90</v>
      </c>
      <c r="L268" s="19">
        <f t="shared" si="13"/>
        <v>1.3499999999999999</v>
      </c>
      <c r="M268" s="19">
        <f t="shared" si="14"/>
        <v>1.8</v>
      </c>
      <c r="N268" s="13" cm="1">
        <f t="array" ref="N268">_xlfn.IFS(C268=2023,K268*$P$2,C268=2024,K268*$P$3)</f>
        <v>1.3499999999999999</v>
      </c>
    </row>
    <row r="269" spans="1:14">
      <c r="A269" s="2">
        <v>268</v>
      </c>
      <c r="B269" s="3">
        <v>44977</v>
      </c>
      <c r="C269" s="4">
        <f t="shared" si="12"/>
        <v>2023</v>
      </c>
      <c r="D269" s="4" t="s">
        <v>315</v>
      </c>
      <c r="E269" s="4" t="s">
        <v>20</v>
      </c>
      <c r="F269" s="4">
        <v>28</v>
      </c>
      <c r="G269" s="4" t="str" cm="1">
        <f t="array" ref="G269">_xlfn.IFS(F269&lt;30,"Young Adult",F269&lt;50,"Adult",F269&gt;=50,"Senior")</f>
        <v>Young Adult</v>
      </c>
      <c r="H269" s="4" t="s">
        <v>24</v>
      </c>
      <c r="I269" s="4">
        <v>1</v>
      </c>
      <c r="J269" s="11">
        <v>30</v>
      </c>
      <c r="K269" s="13">
        <f>I269*J269</f>
        <v>30</v>
      </c>
      <c r="L269" s="19">
        <f t="shared" si="13"/>
        <v>0.44999999999999996</v>
      </c>
      <c r="M269" s="19">
        <f t="shared" si="14"/>
        <v>0.6</v>
      </c>
      <c r="N269" s="13" cm="1">
        <f t="array" ref="N269">_xlfn.IFS(C269=2023,K269*$P$2,C269=2024,K269*$P$3)</f>
        <v>0.44999999999999996</v>
      </c>
    </row>
    <row r="270" spans="1:14">
      <c r="A270" s="2">
        <v>269</v>
      </c>
      <c r="B270" s="3">
        <v>44958</v>
      </c>
      <c r="C270" s="4">
        <f t="shared" si="12"/>
        <v>2023</v>
      </c>
      <c r="D270" s="4" t="s">
        <v>316</v>
      </c>
      <c r="E270" s="4" t="s">
        <v>16</v>
      </c>
      <c r="F270" s="4">
        <v>25</v>
      </c>
      <c r="G270" s="4" t="str" cm="1">
        <f t="array" ref="G270">_xlfn.IFS(F270&lt;30,"Young Adult",F270&lt;50,"Adult",F270&gt;=50,"Senior")</f>
        <v>Young Adult</v>
      </c>
      <c r="H270" s="4" t="s">
        <v>21</v>
      </c>
      <c r="I270" s="4">
        <v>4</v>
      </c>
      <c r="J270" s="11">
        <v>500</v>
      </c>
      <c r="K270" s="13">
        <f>I270*J270</f>
        <v>2000</v>
      </c>
      <c r="L270" s="19">
        <f t="shared" si="13"/>
        <v>30</v>
      </c>
      <c r="M270" s="19">
        <f t="shared" si="14"/>
        <v>40</v>
      </c>
      <c r="N270" s="13" cm="1">
        <f t="array" ref="N270">_xlfn.IFS(C270=2023,K270*$P$2,C270=2024,K270*$P$3)</f>
        <v>30</v>
      </c>
    </row>
    <row r="271" spans="1:14">
      <c r="A271" s="2">
        <v>270</v>
      </c>
      <c r="B271" s="3">
        <v>45133</v>
      </c>
      <c r="C271" s="4">
        <f t="shared" si="12"/>
        <v>2023</v>
      </c>
      <c r="D271" s="4" t="s">
        <v>317</v>
      </c>
      <c r="E271" s="4" t="s">
        <v>16</v>
      </c>
      <c r="F271" s="4">
        <v>43</v>
      </c>
      <c r="G271" s="4" t="str" cm="1">
        <f t="array" ref="G271">_xlfn.IFS(F271&lt;30,"Young Adult",F271&lt;50,"Adult",F271&gt;=50,"Senior")</f>
        <v>Adult</v>
      </c>
      <c r="H271" s="4" t="s">
        <v>24</v>
      </c>
      <c r="I271" s="4">
        <v>1</v>
      </c>
      <c r="J271" s="11">
        <v>300</v>
      </c>
      <c r="K271" s="13">
        <f>I271*J271</f>
        <v>300</v>
      </c>
      <c r="L271" s="19">
        <f t="shared" si="13"/>
        <v>4.5</v>
      </c>
      <c r="M271" s="19">
        <f t="shared" si="14"/>
        <v>6</v>
      </c>
      <c r="N271" s="13" cm="1">
        <f t="array" ref="N271">_xlfn.IFS(C271=2023,K271*$P$2,C271=2024,K271*$P$3)</f>
        <v>4.5</v>
      </c>
    </row>
    <row r="272" spans="1:14">
      <c r="A272" s="2">
        <v>271</v>
      </c>
      <c r="B272" s="3">
        <v>45100</v>
      </c>
      <c r="C272" s="4">
        <f t="shared" si="12"/>
        <v>2023</v>
      </c>
      <c r="D272" s="4" t="s">
        <v>318</v>
      </c>
      <c r="E272" s="4" t="s">
        <v>20</v>
      </c>
      <c r="F272" s="4">
        <v>62</v>
      </c>
      <c r="G272" s="4" t="str" cm="1">
        <f t="array" ref="G272">_xlfn.IFS(F272&lt;30,"Young Adult",F272&lt;50,"Adult",F272&gt;=50,"Senior")</f>
        <v>Senior</v>
      </c>
      <c r="H272" s="4" t="s">
        <v>17</v>
      </c>
      <c r="I272" s="4">
        <v>4</v>
      </c>
      <c r="J272" s="11">
        <v>30</v>
      </c>
      <c r="K272" s="13">
        <f>I272*J272</f>
        <v>120</v>
      </c>
      <c r="L272" s="19">
        <f t="shared" si="13"/>
        <v>1.7999999999999998</v>
      </c>
      <c r="M272" s="19">
        <f t="shared" si="14"/>
        <v>2.4</v>
      </c>
      <c r="N272" s="13" cm="1">
        <f t="array" ref="N272">_xlfn.IFS(C272=2023,K272*$P$2,C272=2024,K272*$P$3)</f>
        <v>1.7999999999999998</v>
      </c>
    </row>
    <row r="273" spans="1:14">
      <c r="A273" s="2">
        <v>272</v>
      </c>
      <c r="B273" s="3">
        <v>44982</v>
      </c>
      <c r="C273" s="4">
        <f t="shared" si="12"/>
        <v>2023</v>
      </c>
      <c r="D273" s="4" t="s">
        <v>319</v>
      </c>
      <c r="E273" s="4" t="s">
        <v>20</v>
      </c>
      <c r="F273" s="4">
        <v>61</v>
      </c>
      <c r="G273" s="4" t="str" cm="1">
        <f t="array" ref="G273">_xlfn.IFS(F273&lt;30,"Young Adult",F273&lt;50,"Adult",F273&gt;=50,"Senior")</f>
        <v>Senior</v>
      </c>
      <c r="H273" s="4" t="s">
        <v>24</v>
      </c>
      <c r="I273" s="4">
        <v>2</v>
      </c>
      <c r="J273" s="11">
        <v>50</v>
      </c>
      <c r="K273" s="13">
        <f>I273*J273</f>
        <v>100</v>
      </c>
      <c r="L273" s="19">
        <f t="shared" si="13"/>
        <v>1.5</v>
      </c>
      <c r="M273" s="19">
        <f t="shared" si="14"/>
        <v>2</v>
      </c>
      <c r="N273" s="13" cm="1">
        <f t="array" ref="N273">_xlfn.IFS(C273=2023,K273*$P$2,C273=2024,K273*$P$3)</f>
        <v>1.5</v>
      </c>
    </row>
    <row r="274" spans="1:14">
      <c r="A274" s="2">
        <v>273</v>
      </c>
      <c r="B274" s="3">
        <v>45054</v>
      </c>
      <c r="C274" s="4">
        <f t="shared" si="12"/>
        <v>2023</v>
      </c>
      <c r="D274" s="4" t="s">
        <v>320</v>
      </c>
      <c r="E274" s="4" t="s">
        <v>20</v>
      </c>
      <c r="F274" s="4">
        <v>22</v>
      </c>
      <c r="G274" s="4" t="str" cm="1">
        <f t="array" ref="G274">_xlfn.IFS(F274&lt;30,"Young Adult",F274&lt;50,"Adult",F274&gt;=50,"Senior")</f>
        <v>Young Adult</v>
      </c>
      <c r="H274" s="4" t="s">
        <v>17</v>
      </c>
      <c r="I274" s="4">
        <v>1</v>
      </c>
      <c r="J274" s="11">
        <v>50</v>
      </c>
      <c r="K274" s="13">
        <f>I274*J274</f>
        <v>50</v>
      </c>
      <c r="L274" s="19">
        <f t="shared" si="13"/>
        <v>0.75</v>
      </c>
      <c r="M274" s="19">
        <f t="shared" si="14"/>
        <v>1</v>
      </c>
      <c r="N274" s="13" cm="1">
        <f t="array" ref="N274">_xlfn.IFS(C274=2023,K274*$P$2,C274=2024,K274*$P$3)</f>
        <v>0.75</v>
      </c>
    </row>
    <row r="275" spans="1:14">
      <c r="A275" s="2">
        <v>274</v>
      </c>
      <c r="B275" s="3">
        <v>45025</v>
      </c>
      <c r="C275" s="4">
        <f t="shared" si="12"/>
        <v>2023</v>
      </c>
      <c r="D275" s="4" t="s">
        <v>321</v>
      </c>
      <c r="E275" s="4" t="s">
        <v>20</v>
      </c>
      <c r="F275" s="4">
        <v>23</v>
      </c>
      <c r="G275" s="4" t="str" cm="1">
        <f t="array" ref="G275">_xlfn.IFS(F275&lt;30,"Young Adult",F275&lt;50,"Adult",F275&gt;=50,"Senior")</f>
        <v>Young Adult</v>
      </c>
      <c r="H275" s="4" t="s">
        <v>21</v>
      </c>
      <c r="I275" s="4">
        <v>2</v>
      </c>
      <c r="J275" s="11">
        <v>500</v>
      </c>
      <c r="K275" s="13">
        <f>I275*J275</f>
        <v>1000</v>
      </c>
      <c r="L275" s="19">
        <f t="shared" si="13"/>
        <v>15</v>
      </c>
      <c r="M275" s="19">
        <f t="shared" si="14"/>
        <v>20</v>
      </c>
      <c r="N275" s="13" cm="1">
        <f t="array" ref="N275">_xlfn.IFS(C275=2023,K275*$P$2,C275=2024,K275*$P$3)</f>
        <v>15</v>
      </c>
    </row>
    <row r="276" spans="1:14">
      <c r="A276" s="2">
        <v>275</v>
      </c>
      <c r="B276" s="3">
        <v>45024</v>
      </c>
      <c r="C276" s="4">
        <f t="shared" si="12"/>
        <v>2023</v>
      </c>
      <c r="D276" s="4" t="s">
        <v>322</v>
      </c>
      <c r="E276" s="4" t="s">
        <v>16</v>
      </c>
      <c r="F276" s="4">
        <v>43</v>
      </c>
      <c r="G276" s="4" t="str" cm="1">
        <f t="array" ref="G276">_xlfn.IFS(F276&lt;30,"Young Adult",F276&lt;50,"Adult",F276&gt;=50,"Senior")</f>
        <v>Adult</v>
      </c>
      <c r="H276" s="4" t="s">
        <v>21</v>
      </c>
      <c r="I276" s="4">
        <v>2</v>
      </c>
      <c r="J276" s="11">
        <v>500</v>
      </c>
      <c r="K276" s="13">
        <f>I276*J276</f>
        <v>1000</v>
      </c>
      <c r="L276" s="19">
        <f t="shared" si="13"/>
        <v>15</v>
      </c>
      <c r="M276" s="19">
        <f t="shared" si="14"/>
        <v>20</v>
      </c>
      <c r="N276" s="13" cm="1">
        <f t="array" ref="N276">_xlfn.IFS(C276=2023,K276*$P$2,C276=2024,K276*$P$3)</f>
        <v>15</v>
      </c>
    </row>
    <row r="277" spans="1:14">
      <c r="A277" s="2">
        <v>276</v>
      </c>
      <c r="B277" s="3">
        <v>45201</v>
      </c>
      <c r="C277" s="4">
        <f t="shared" si="12"/>
        <v>2023</v>
      </c>
      <c r="D277" s="4" t="s">
        <v>323</v>
      </c>
      <c r="E277" s="4" t="s">
        <v>20</v>
      </c>
      <c r="F277" s="4">
        <v>21</v>
      </c>
      <c r="G277" s="4" t="str" cm="1">
        <f t="array" ref="G277">_xlfn.IFS(F277&lt;30,"Young Adult",F277&lt;50,"Adult",F277&gt;=50,"Senior")</f>
        <v>Young Adult</v>
      </c>
      <c r="H277" s="4" t="s">
        <v>17</v>
      </c>
      <c r="I277" s="4">
        <v>4</v>
      </c>
      <c r="J277" s="11">
        <v>25</v>
      </c>
      <c r="K277" s="13">
        <f>I277*J277</f>
        <v>100</v>
      </c>
      <c r="L277" s="19">
        <f t="shared" si="13"/>
        <v>1.5</v>
      </c>
      <c r="M277" s="19">
        <f t="shared" si="14"/>
        <v>2</v>
      </c>
      <c r="N277" s="13" cm="1">
        <f t="array" ref="N277">_xlfn.IFS(C277=2023,K277*$P$2,C277=2024,K277*$P$3)</f>
        <v>1.5</v>
      </c>
    </row>
    <row r="278" spans="1:14">
      <c r="A278" s="2">
        <v>277</v>
      </c>
      <c r="B278" s="3">
        <v>45156</v>
      </c>
      <c r="C278" s="4">
        <f t="shared" si="12"/>
        <v>2023</v>
      </c>
      <c r="D278" s="4" t="s">
        <v>324</v>
      </c>
      <c r="E278" s="4" t="s">
        <v>16</v>
      </c>
      <c r="F278" s="4">
        <v>36</v>
      </c>
      <c r="G278" s="4" t="str" cm="1">
        <f t="array" ref="G278">_xlfn.IFS(F278&lt;30,"Young Adult",F278&lt;50,"Adult",F278&gt;=50,"Senior")</f>
        <v>Adult</v>
      </c>
      <c r="H278" s="4" t="s">
        <v>21</v>
      </c>
      <c r="I278" s="4">
        <v>4</v>
      </c>
      <c r="J278" s="11">
        <v>25</v>
      </c>
      <c r="K278" s="13">
        <f>I278*J278</f>
        <v>100</v>
      </c>
      <c r="L278" s="19">
        <f t="shared" si="13"/>
        <v>1.5</v>
      </c>
      <c r="M278" s="19">
        <f t="shared" si="14"/>
        <v>2</v>
      </c>
      <c r="N278" s="13" cm="1">
        <f t="array" ref="N278">_xlfn.IFS(C278=2023,K278*$P$2,C278=2024,K278*$P$3)</f>
        <v>1.5</v>
      </c>
    </row>
    <row r="279" spans="1:14">
      <c r="A279" s="2">
        <v>278</v>
      </c>
      <c r="B279" s="3">
        <v>44998</v>
      </c>
      <c r="C279" s="4">
        <f t="shared" si="12"/>
        <v>2023</v>
      </c>
      <c r="D279" s="4" t="s">
        <v>325</v>
      </c>
      <c r="E279" s="4" t="s">
        <v>20</v>
      </c>
      <c r="F279" s="4">
        <v>37</v>
      </c>
      <c r="G279" s="4" t="str" cm="1">
        <f t="array" ref="G279">_xlfn.IFS(F279&lt;30,"Young Adult",F279&lt;50,"Adult",F279&gt;=50,"Senior")</f>
        <v>Adult</v>
      </c>
      <c r="H279" s="4" t="s">
        <v>21</v>
      </c>
      <c r="I279" s="4">
        <v>4</v>
      </c>
      <c r="J279" s="11">
        <v>25</v>
      </c>
      <c r="K279" s="13">
        <f>I279*J279</f>
        <v>100</v>
      </c>
      <c r="L279" s="19">
        <f t="shared" si="13"/>
        <v>1.5</v>
      </c>
      <c r="M279" s="19">
        <f t="shared" si="14"/>
        <v>2</v>
      </c>
      <c r="N279" s="13" cm="1">
        <f t="array" ref="N279">_xlfn.IFS(C279=2023,K279*$P$2,C279=2024,K279*$P$3)</f>
        <v>1.5</v>
      </c>
    </row>
    <row r="280" spans="1:14">
      <c r="A280" s="2">
        <v>279</v>
      </c>
      <c r="B280" s="3">
        <v>45143</v>
      </c>
      <c r="C280" s="4">
        <f t="shared" si="12"/>
        <v>2023</v>
      </c>
      <c r="D280" s="4" t="s">
        <v>326</v>
      </c>
      <c r="E280" s="4" t="s">
        <v>16</v>
      </c>
      <c r="F280" s="4">
        <v>50</v>
      </c>
      <c r="G280" s="4" t="str" cm="1">
        <f t="array" ref="G280">_xlfn.IFS(F280&lt;30,"Young Adult",F280&lt;50,"Adult",F280&gt;=50,"Senior")</f>
        <v>Senior</v>
      </c>
      <c r="H280" s="4" t="s">
        <v>21</v>
      </c>
      <c r="I280" s="4">
        <v>1</v>
      </c>
      <c r="J280" s="11">
        <v>500</v>
      </c>
      <c r="K280" s="13">
        <f>I280*J280</f>
        <v>500</v>
      </c>
      <c r="L280" s="19">
        <f t="shared" si="13"/>
        <v>7.5</v>
      </c>
      <c r="M280" s="19">
        <f t="shared" si="14"/>
        <v>10</v>
      </c>
      <c r="N280" s="13" cm="1">
        <f t="array" ref="N280">_xlfn.IFS(C280=2023,K280*$P$2,C280=2024,K280*$P$3)</f>
        <v>7.5</v>
      </c>
    </row>
    <row r="281" spans="1:14">
      <c r="A281" s="2">
        <v>280</v>
      </c>
      <c r="B281" s="3">
        <v>45020</v>
      </c>
      <c r="C281" s="4">
        <f t="shared" si="12"/>
        <v>2023</v>
      </c>
      <c r="D281" s="4" t="s">
        <v>327</v>
      </c>
      <c r="E281" s="4" t="s">
        <v>20</v>
      </c>
      <c r="F281" s="4">
        <v>37</v>
      </c>
      <c r="G281" s="4" t="str" cm="1">
        <f t="array" ref="G281">_xlfn.IFS(F281&lt;30,"Young Adult",F281&lt;50,"Adult",F281&gt;=50,"Senior")</f>
        <v>Adult</v>
      </c>
      <c r="H281" s="4" t="s">
        <v>21</v>
      </c>
      <c r="I281" s="4">
        <v>3</v>
      </c>
      <c r="J281" s="11">
        <v>500</v>
      </c>
      <c r="K281" s="13">
        <f>I281*J281</f>
        <v>1500</v>
      </c>
      <c r="L281" s="19">
        <f t="shared" si="13"/>
        <v>22.5</v>
      </c>
      <c r="M281" s="19">
        <f t="shared" si="14"/>
        <v>30</v>
      </c>
      <c r="N281" s="13" cm="1">
        <f t="array" ref="N281">_xlfn.IFS(C281=2023,K281*$P$2,C281=2024,K281*$P$3)</f>
        <v>22.5</v>
      </c>
    </row>
    <row r="282" spans="1:14">
      <c r="A282" s="2">
        <v>281</v>
      </c>
      <c r="B282" s="3">
        <v>45069</v>
      </c>
      <c r="C282" s="4">
        <f t="shared" si="12"/>
        <v>2023</v>
      </c>
      <c r="D282" s="4" t="s">
        <v>328</v>
      </c>
      <c r="E282" s="4" t="s">
        <v>20</v>
      </c>
      <c r="F282" s="4">
        <v>29</v>
      </c>
      <c r="G282" s="4" t="str" cm="1">
        <f t="array" ref="G282">_xlfn.IFS(F282&lt;30,"Young Adult",F282&lt;50,"Adult",F282&gt;=50,"Senior")</f>
        <v>Young Adult</v>
      </c>
      <c r="H282" s="4" t="s">
        <v>17</v>
      </c>
      <c r="I282" s="4">
        <v>4</v>
      </c>
      <c r="J282" s="11">
        <v>500</v>
      </c>
      <c r="K282" s="13">
        <f>I282*J282</f>
        <v>2000</v>
      </c>
      <c r="L282" s="19">
        <f t="shared" si="13"/>
        <v>30</v>
      </c>
      <c r="M282" s="19">
        <f t="shared" si="14"/>
        <v>40</v>
      </c>
      <c r="N282" s="13" cm="1">
        <f t="array" ref="N282">_xlfn.IFS(C282=2023,K282*$P$2,C282=2024,K282*$P$3)</f>
        <v>30</v>
      </c>
    </row>
    <row r="283" spans="1:14">
      <c r="A283" s="2">
        <v>282</v>
      </c>
      <c r="B283" s="3">
        <v>45163</v>
      </c>
      <c r="C283" s="4">
        <f t="shared" si="12"/>
        <v>2023</v>
      </c>
      <c r="D283" s="4" t="s">
        <v>329</v>
      </c>
      <c r="E283" s="4" t="s">
        <v>20</v>
      </c>
      <c r="F283" s="4">
        <v>64</v>
      </c>
      <c r="G283" s="4" t="str" cm="1">
        <f t="array" ref="G283">_xlfn.IFS(F283&lt;30,"Young Adult",F283&lt;50,"Adult",F283&gt;=50,"Senior")</f>
        <v>Senior</v>
      </c>
      <c r="H283" s="4" t="s">
        <v>24</v>
      </c>
      <c r="I283" s="4">
        <v>4</v>
      </c>
      <c r="J283" s="11">
        <v>50</v>
      </c>
      <c r="K283" s="13">
        <f>I283*J283</f>
        <v>200</v>
      </c>
      <c r="L283" s="19">
        <f t="shared" si="13"/>
        <v>3</v>
      </c>
      <c r="M283" s="19">
        <f t="shared" si="14"/>
        <v>4</v>
      </c>
      <c r="N283" s="13" cm="1">
        <f t="array" ref="N283">_xlfn.IFS(C283=2023,K283*$P$2,C283=2024,K283*$P$3)</f>
        <v>3</v>
      </c>
    </row>
    <row r="284" spans="1:14">
      <c r="A284" s="2">
        <v>283</v>
      </c>
      <c r="B284" s="3">
        <v>45054</v>
      </c>
      <c r="C284" s="4">
        <f t="shared" si="12"/>
        <v>2023</v>
      </c>
      <c r="D284" s="4" t="s">
        <v>330</v>
      </c>
      <c r="E284" s="4" t="s">
        <v>20</v>
      </c>
      <c r="F284" s="4">
        <v>18</v>
      </c>
      <c r="G284" s="4" t="str" cm="1">
        <f t="array" ref="G284">_xlfn.IFS(F284&lt;30,"Young Adult",F284&lt;50,"Adult",F284&gt;=50,"Senior")</f>
        <v>Young Adult</v>
      </c>
      <c r="H284" s="4" t="s">
        <v>24</v>
      </c>
      <c r="I284" s="4">
        <v>1</v>
      </c>
      <c r="J284" s="11">
        <v>500</v>
      </c>
      <c r="K284" s="13">
        <f>I284*J284</f>
        <v>500</v>
      </c>
      <c r="L284" s="19">
        <f t="shared" si="13"/>
        <v>7.5</v>
      </c>
      <c r="M284" s="19">
        <f t="shared" si="14"/>
        <v>10</v>
      </c>
      <c r="N284" s="13" cm="1">
        <f t="array" ref="N284">_xlfn.IFS(C284=2023,K284*$P$2,C284=2024,K284*$P$3)</f>
        <v>7.5</v>
      </c>
    </row>
    <row r="285" spans="1:14">
      <c r="A285" s="2">
        <v>284</v>
      </c>
      <c r="B285" s="3">
        <v>44965</v>
      </c>
      <c r="C285" s="4">
        <f t="shared" si="12"/>
        <v>2023</v>
      </c>
      <c r="D285" s="4" t="s">
        <v>331</v>
      </c>
      <c r="E285" s="4" t="s">
        <v>16</v>
      </c>
      <c r="F285" s="4">
        <v>43</v>
      </c>
      <c r="G285" s="4" t="str" cm="1">
        <f t="array" ref="G285">_xlfn.IFS(F285&lt;30,"Young Adult",F285&lt;50,"Adult",F285&gt;=50,"Senior")</f>
        <v>Adult</v>
      </c>
      <c r="H285" s="4" t="s">
        <v>21</v>
      </c>
      <c r="I285" s="4">
        <v>4</v>
      </c>
      <c r="J285" s="11">
        <v>50</v>
      </c>
      <c r="K285" s="13">
        <f>I285*J285</f>
        <v>200</v>
      </c>
      <c r="L285" s="19">
        <f t="shared" si="13"/>
        <v>3</v>
      </c>
      <c r="M285" s="19">
        <f t="shared" si="14"/>
        <v>4</v>
      </c>
      <c r="N285" s="13" cm="1">
        <f t="array" ref="N285">_xlfn.IFS(C285=2023,K285*$P$2,C285=2024,K285*$P$3)</f>
        <v>3</v>
      </c>
    </row>
    <row r="286" spans="1:14">
      <c r="A286" s="2">
        <v>285</v>
      </c>
      <c r="B286" s="3">
        <v>45153</v>
      </c>
      <c r="C286" s="4">
        <f t="shared" si="12"/>
        <v>2023</v>
      </c>
      <c r="D286" s="4" t="s">
        <v>332</v>
      </c>
      <c r="E286" s="4" t="s">
        <v>20</v>
      </c>
      <c r="F286" s="4">
        <v>31</v>
      </c>
      <c r="G286" s="4" t="str" cm="1">
        <f t="array" ref="G286">_xlfn.IFS(F286&lt;30,"Young Adult",F286&lt;50,"Adult",F286&gt;=50,"Senior")</f>
        <v>Adult</v>
      </c>
      <c r="H286" s="4" t="s">
        <v>24</v>
      </c>
      <c r="I286" s="4">
        <v>1</v>
      </c>
      <c r="J286" s="11">
        <v>25</v>
      </c>
      <c r="K286" s="13">
        <f>I286*J286</f>
        <v>25</v>
      </c>
      <c r="L286" s="19">
        <f t="shared" si="13"/>
        <v>0.375</v>
      </c>
      <c r="M286" s="19">
        <f t="shared" si="14"/>
        <v>0.5</v>
      </c>
      <c r="N286" s="13" cm="1">
        <f t="array" ref="N286">_xlfn.IFS(C286=2023,K286*$P$2,C286=2024,K286*$P$3)</f>
        <v>0.375</v>
      </c>
    </row>
    <row r="287" spans="1:14">
      <c r="A287" s="2">
        <v>286</v>
      </c>
      <c r="B287" s="3">
        <v>45208</v>
      </c>
      <c r="C287" s="4">
        <f t="shared" si="12"/>
        <v>2023</v>
      </c>
      <c r="D287" s="4" t="s">
        <v>333</v>
      </c>
      <c r="E287" s="4" t="s">
        <v>16</v>
      </c>
      <c r="F287" s="4">
        <v>55</v>
      </c>
      <c r="G287" s="4" t="str" cm="1">
        <f t="array" ref="G287">_xlfn.IFS(F287&lt;30,"Young Adult",F287&lt;50,"Adult",F287&gt;=50,"Senior")</f>
        <v>Senior</v>
      </c>
      <c r="H287" s="4" t="s">
        <v>24</v>
      </c>
      <c r="I287" s="4">
        <v>2</v>
      </c>
      <c r="J287" s="11">
        <v>25</v>
      </c>
      <c r="K287" s="13">
        <f>I287*J287</f>
        <v>50</v>
      </c>
      <c r="L287" s="19">
        <f t="shared" si="13"/>
        <v>0.75</v>
      </c>
      <c r="M287" s="19">
        <f t="shared" si="14"/>
        <v>1</v>
      </c>
      <c r="N287" s="13" cm="1">
        <f t="array" ref="N287">_xlfn.IFS(C287=2023,K287*$P$2,C287=2024,K287*$P$3)</f>
        <v>0.75</v>
      </c>
    </row>
    <row r="288" spans="1:14">
      <c r="A288" s="2">
        <v>287</v>
      </c>
      <c r="B288" s="3">
        <v>44977</v>
      </c>
      <c r="C288" s="4">
        <f t="shared" si="12"/>
        <v>2023</v>
      </c>
      <c r="D288" s="4" t="s">
        <v>334</v>
      </c>
      <c r="E288" s="4" t="s">
        <v>16</v>
      </c>
      <c r="F288" s="4">
        <v>54</v>
      </c>
      <c r="G288" s="4" t="str" cm="1">
        <f t="array" ref="G288">_xlfn.IFS(F288&lt;30,"Young Adult",F288&lt;50,"Adult",F288&gt;=50,"Senior")</f>
        <v>Senior</v>
      </c>
      <c r="H288" s="4" t="s">
        <v>21</v>
      </c>
      <c r="I288" s="4">
        <v>4</v>
      </c>
      <c r="J288" s="11">
        <v>25</v>
      </c>
      <c r="K288" s="13">
        <f>I288*J288</f>
        <v>100</v>
      </c>
      <c r="L288" s="19">
        <f t="shared" si="13"/>
        <v>1.5</v>
      </c>
      <c r="M288" s="19">
        <f t="shared" si="14"/>
        <v>2</v>
      </c>
      <c r="N288" s="13" cm="1">
        <f t="array" ref="N288">_xlfn.IFS(C288=2023,K288*$P$2,C288=2024,K288*$P$3)</f>
        <v>1.5</v>
      </c>
    </row>
    <row r="289" spans="1:14">
      <c r="A289" s="2">
        <v>288</v>
      </c>
      <c r="B289" s="3">
        <v>44952</v>
      </c>
      <c r="C289" s="4">
        <f t="shared" si="12"/>
        <v>2023</v>
      </c>
      <c r="D289" s="4" t="s">
        <v>335</v>
      </c>
      <c r="E289" s="4" t="s">
        <v>16</v>
      </c>
      <c r="F289" s="4">
        <v>28</v>
      </c>
      <c r="G289" s="4" t="str" cm="1">
        <f t="array" ref="G289">_xlfn.IFS(F289&lt;30,"Young Adult",F289&lt;50,"Adult",F289&gt;=50,"Senior")</f>
        <v>Young Adult</v>
      </c>
      <c r="H289" s="4" t="s">
        <v>21</v>
      </c>
      <c r="I289" s="4">
        <v>4</v>
      </c>
      <c r="J289" s="11">
        <v>30</v>
      </c>
      <c r="K289" s="13">
        <f>I289*J289</f>
        <v>120</v>
      </c>
      <c r="L289" s="19">
        <f t="shared" si="13"/>
        <v>1.7999999999999998</v>
      </c>
      <c r="M289" s="19">
        <f t="shared" si="14"/>
        <v>2.4</v>
      </c>
      <c r="N289" s="13" cm="1">
        <f t="array" ref="N289">_xlfn.IFS(C289=2023,K289*$P$2,C289=2024,K289*$P$3)</f>
        <v>1.7999999999999998</v>
      </c>
    </row>
    <row r="290" spans="1:14">
      <c r="A290" s="2">
        <v>289</v>
      </c>
      <c r="B290" s="3">
        <v>45260</v>
      </c>
      <c r="C290" s="4">
        <f t="shared" si="12"/>
        <v>2023</v>
      </c>
      <c r="D290" s="4" t="s">
        <v>336</v>
      </c>
      <c r="E290" s="4" t="s">
        <v>16</v>
      </c>
      <c r="F290" s="4">
        <v>53</v>
      </c>
      <c r="G290" s="4" t="str" cm="1">
        <f t="array" ref="G290">_xlfn.IFS(F290&lt;30,"Young Adult",F290&lt;50,"Adult",F290&gt;=50,"Senior")</f>
        <v>Senior</v>
      </c>
      <c r="H290" s="4" t="s">
        <v>24</v>
      </c>
      <c r="I290" s="4">
        <v>2</v>
      </c>
      <c r="J290" s="11">
        <v>30</v>
      </c>
      <c r="K290" s="13">
        <f>I290*J290</f>
        <v>60</v>
      </c>
      <c r="L290" s="19">
        <f t="shared" si="13"/>
        <v>0.89999999999999991</v>
      </c>
      <c r="M290" s="19">
        <f t="shared" si="14"/>
        <v>1.2</v>
      </c>
      <c r="N290" s="13" cm="1">
        <f t="array" ref="N290">_xlfn.IFS(C290=2023,K290*$P$2,C290=2024,K290*$P$3)</f>
        <v>0.89999999999999991</v>
      </c>
    </row>
    <row r="291" spans="1:14">
      <c r="A291" s="2">
        <v>290</v>
      </c>
      <c r="B291" s="3">
        <v>45203</v>
      </c>
      <c r="C291" s="4">
        <f t="shared" si="12"/>
        <v>2023</v>
      </c>
      <c r="D291" s="4" t="s">
        <v>337</v>
      </c>
      <c r="E291" s="4" t="s">
        <v>20</v>
      </c>
      <c r="F291" s="4">
        <v>30</v>
      </c>
      <c r="G291" s="4" t="str" cm="1">
        <f t="array" ref="G291">_xlfn.IFS(F291&lt;30,"Young Adult",F291&lt;50,"Adult",F291&gt;=50,"Senior")</f>
        <v>Adult</v>
      </c>
      <c r="H291" s="4" t="s">
        <v>17</v>
      </c>
      <c r="I291" s="4">
        <v>2</v>
      </c>
      <c r="J291" s="11">
        <v>300</v>
      </c>
      <c r="K291" s="13">
        <f>I291*J291</f>
        <v>600</v>
      </c>
      <c r="L291" s="19">
        <f t="shared" si="13"/>
        <v>9</v>
      </c>
      <c r="M291" s="19">
        <f t="shared" si="14"/>
        <v>12</v>
      </c>
      <c r="N291" s="13" cm="1">
        <f t="array" ref="N291">_xlfn.IFS(C291=2023,K291*$P$2,C291=2024,K291*$P$3)</f>
        <v>9</v>
      </c>
    </row>
    <row r="292" spans="1:14">
      <c r="A292" s="2">
        <v>291</v>
      </c>
      <c r="B292" s="3">
        <v>44934</v>
      </c>
      <c r="C292" s="4">
        <f t="shared" si="12"/>
        <v>2023</v>
      </c>
      <c r="D292" s="4" t="s">
        <v>338</v>
      </c>
      <c r="E292" s="4" t="s">
        <v>16</v>
      </c>
      <c r="F292" s="4">
        <v>60</v>
      </c>
      <c r="G292" s="4" t="str" cm="1">
        <f t="array" ref="G292">_xlfn.IFS(F292&lt;30,"Young Adult",F292&lt;50,"Adult",F292&gt;=50,"Senior")</f>
        <v>Senior</v>
      </c>
      <c r="H292" s="4" t="s">
        <v>21</v>
      </c>
      <c r="I292" s="4">
        <v>2</v>
      </c>
      <c r="J292" s="11">
        <v>300</v>
      </c>
      <c r="K292" s="13">
        <f>I292*J292</f>
        <v>600</v>
      </c>
      <c r="L292" s="19">
        <f t="shared" si="13"/>
        <v>9</v>
      </c>
      <c r="M292" s="19">
        <f t="shared" si="14"/>
        <v>12</v>
      </c>
      <c r="N292" s="13" cm="1">
        <f t="array" ref="N292">_xlfn.IFS(C292=2023,K292*$P$2,C292=2024,K292*$P$3)</f>
        <v>9</v>
      </c>
    </row>
    <row r="293" spans="1:14">
      <c r="A293" s="2">
        <v>292</v>
      </c>
      <c r="B293" s="3">
        <v>44974</v>
      </c>
      <c r="C293" s="4">
        <f t="shared" si="12"/>
        <v>2023</v>
      </c>
      <c r="D293" s="4" t="s">
        <v>339</v>
      </c>
      <c r="E293" s="4" t="s">
        <v>16</v>
      </c>
      <c r="F293" s="4">
        <v>20</v>
      </c>
      <c r="G293" s="4" t="str" cm="1">
        <f t="array" ref="G293">_xlfn.IFS(F293&lt;30,"Young Adult",F293&lt;50,"Adult",F293&gt;=50,"Senior")</f>
        <v>Young Adult</v>
      </c>
      <c r="H293" s="4" t="s">
        <v>17</v>
      </c>
      <c r="I293" s="4">
        <v>4</v>
      </c>
      <c r="J293" s="11">
        <v>300</v>
      </c>
      <c r="K293" s="13">
        <f>I293*J293</f>
        <v>1200</v>
      </c>
      <c r="L293" s="19">
        <f t="shared" si="13"/>
        <v>18</v>
      </c>
      <c r="M293" s="19">
        <f t="shared" si="14"/>
        <v>24</v>
      </c>
      <c r="N293" s="13" cm="1">
        <f t="array" ref="N293">_xlfn.IFS(C293=2023,K293*$P$2,C293=2024,K293*$P$3)</f>
        <v>18</v>
      </c>
    </row>
    <row r="294" spans="1:14">
      <c r="A294" s="2">
        <v>293</v>
      </c>
      <c r="B294" s="3">
        <v>45048</v>
      </c>
      <c r="C294" s="4">
        <f t="shared" si="12"/>
        <v>2023</v>
      </c>
      <c r="D294" s="4" t="s">
        <v>340</v>
      </c>
      <c r="E294" s="4" t="s">
        <v>16</v>
      </c>
      <c r="F294" s="4">
        <v>50</v>
      </c>
      <c r="G294" s="4" t="str" cm="1">
        <f t="array" ref="G294">_xlfn.IFS(F294&lt;30,"Young Adult",F294&lt;50,"Adult",F294&gt;=50,"Senior")</f>
        <v>Senior</v>
      </c>
      <c r="H294" s="4" t="s">
        <v>24</v>
      </c>
      <c r="I294" s="4">
        <v>3</v>
      </c>
      <c r="J294" s="11">
        <v>30</v>
      </c>
      <c r="K294" s="13">
        <f>I294*J294</f>
        <v>90</v>
      </c>
      <c r="L294" s="19">
        <f t="shared" si="13"/>
        <v>1.3499999999999999</v>
      </c>
      <c r="M294" s="19">
        <f t="shared" si="14"/>
        <v>1.8</v>
      </c>
      <c r="N294" s="13" cm="1">
        <f t="array" ref="N294">_xlfn.IFS(C294=2023,K294*$P$2,C294=2024,K294*$P$3)</f>
        <v>1.3499999999999999</v>
      </c>
    </row>
    <row r="295" spans="1:14">
      <c r="A295" s="2">
        <v>294</v>
      </c>
      <c r="B295" s="3">
        <v>45012</v>
      </c>
      <c r="C295" s="4">
        <f t="shared" si="12"/>
        <v>2023</v>
      </c>
      <c r="D295" s="4" t="s">
        <v>341</v>
      </c>
      <c r="E295" s="4" t="s">
        <v>20</v>
      </c>
      <c r="F295" s="4">
        <v>23</v>
      </c>
      <c r="G295" s="4" t="str" cm="1">
        <f t="array" ref="G295">_xlfn.IFS(F295&lt;30,"Young Adult",F295&lt;50,"Adult",F295&gt;=50,"Senior")</f>
        <v>Young Adult</v>
      </c>
      <c r="H295" s="4" t="s">
        <v>21</v>
      </c>
      <c r="I295" s="4">
        <v>3</v>
      </c>
      <c r="J295" s="11">
        <v>30</v>
      </c>
      <c r="K295" s="13">
        <f>I295*J295</f>
        <v>90</v>
      </c>
      <c r="L295" s="19">
        <f t="shared" si="13"/>
        <v>1.3499999999999999</v>
      </c>
      <c r="M295" s="19">
        <f t="shared" si="14"/>
        <v>1.8</v>
      </c>
      <c r="N295" s="13" cm="1">
        <f t="array" ref="N295">_xlfn.IFS(C295=2023,K295*$P$2,C295=2024,K295*$P$3)</f>
        <v>1.3499999999999999</v>
      </c>
    </row>
    <row r="296" spans="1:14">
      <c r="A296" s="2">
        <v>295</v>
      </c>
      <c r="B296" s="3">
        <v>45135</v>
      </c>
      <c r="C296" s="4">
        <f t="shared" si="12"/>
        <v>2023</v>
      </c>
      <c r="D296" s="4" t="s">
        <v>342</v>
      </c>
      <c r="E296" s="4" t="s">
        <v>20</v>
      </c>
      <c r="F296" s="4">
        <v>27</v>
      </c>
      <c r="G296" s="4" t="str" cm="1">
        <f t="array" ref="G296">_xlfn.IFS(F296&lt;30,"Young Adult",F296&lt;50,"Adult",F296&gt;=50,"Senior")</f>
        <v>Young Adult</v>
      </c>
      <c r="H296" s="4" t="s">
        <v>17</v>
      </c>
      <c r="I296" s="4">
        <v>3</v>
      </c>
      <c r="J296" s="11">
        <v>300</v>
      </c>
      <c r="K296" s="13">
        <f>I296*J296</f>
        <v>900</v>
      </c>
      <c r="L296" s="19">
        <f t="shared" si="13"/>
        <v>13.5</v>
      </c>
      <c r="M296" s="19">
        <f t="shared" si="14"/>
        <v>18</v>
      </c>
      <c r="N296" s="13" cm="1">
        <f t="array" ref="N296">_xlfn.IFS(C296=2023,K296*$P$2,C296=2024,K296*$P$3)</f>
        <v>13.5</v>
      </c>
    </row>
    <row r="297" spans="1:14">
      <c r="A297" s="2">
        <v>296</v>
      </c>
      <c r="B297" s="3">
        <v>45175</v>
      </c>
      <c r="C297" s="4">
        <f t="shared" si="12"/>
        <v>2023</v>
      </c>
      <c r="D297" s="4" t="s">
        <v>343</v>
      </c>
      <c r="E297" s="4" t="s">
        <v>20</v>
      </c>
      <c r="F297" s="4">
        <v>22</v>
      </c>
      <c r="G297" s="4" t="str" cm="1">
        <f t="array" ref="G297">_xlfn.IFS(F297&lt;30,"Young Adult",F297&lt;50,"Adult",F297&gt;=50,"Senior")</f>
        <v>Young Adult</v>
      </c>
      <c r="H297" s="4" t="s">
        <v>21</v>
      </c>
      <c r="I297" s="4">
        <v>4</v>
      </c>
      <c r="J297" s="11">
        <v>300</v>
      </c>
      <c r="K297" s="13">
        <f>I297*J297</f>
        <v>1200</v>
      </c>
      <c r="L297" s="19">
        <f t="shared" si="13"/>
        <v>18</v>
      </c>
      <c r="M297" s="19">
        <f t="shared" si="14"/>
        <v>24</v>
      </c>
      <c r="N297" s="13" cm="1">
        <f t="array" ref="N297">_xlfn.IFS(C297=2023,K297*$P$2,C297=2024,K297*$P$3)</f>
        <v>18</v>
      </c>
    </row>
    <row r="298" spans="1:14">
      <c r="A298" s="2">
        <v>297</v>
      </c>
      <c r="B298" s="3">
        <v>45173</v>
      </c>
      <c r="C298" s="4">
        <f t="shared" si="12"/>
        <v>2023</v>
      </c>
      <c r="D298" s="4" t="s">
        <v>344</v>
      </c>
      <c r="E298" s="4" t="s">
        <v>20</v>
      </c>
      <c r="F298" s="4">
        <v>40</v>
      </c>
      <c r="G298" s="4" t="str" cm="1">
        <f t="array" ref="G298">_xlfn.IFS(F298&lt;30,"Young Adult",F298&lt;50,"Adult",F298&gt;=50,"Senior")</f>
        <v>Adult</v>
      </c>
      <c r="H298" s="4" t="s">
        <v>24</v>
      </c>
      <c r="I298" s="4">
        <v>2</v>
      </c>
      <c r="J298" s="11">
        <v>500</v>
      </c>
      <c r="K298" s="13">
        <f>I298*J298</f>
        <v>1000</v>
      </c>
      <c r="L298" s="19">
        <f t="shared" si="13"/>
        <v>15</v>
      </c>
      <c r="M298" s="19">
        <f t="shared" si="14"/>
        <v>20</v>
      </c>
      <c r="N298" s="13" cm="1">
        <f t="array" ref="N298">_xlfn.IFS(C298=2023,K298*$P$2,C298=2024,K298*$P$3)</f>
        <v>15</v>
      </c>
    </row>
    <row r="299" spans="1:14">
      <c r="A299" s="2">
        <v>298</v>
      </c>
      <c r="B299" s="3">
        <v>45036</v>
      </c>
      <c r="C299" s="4">
        <f t="shared" si="12"/>
        <v>2023</v>
      </c>
      <c r="D299" s="4" t="s">
        <v>345</v>
      </c>
      <c r="E299" s="4" t="s">
        <v>16</v>
      </c>
      <c r="F299" s="4">
        <v>27</v>
      </c>
      <c r="G299" s="4" t="str" cm="1">
        <f t="array" ref="G299">_xlfn.IFS(F299&lt;30,"Young Adult",F299&lt;50,"Adult",F299&gt;=50,"Senior")</f>
        <v>Young Adult</v>
      </c>
      <c r="H299" s="4" t="s">
        <v>17</v>
      </c>
      <c r="I299" s="4">
        <v>4</v>
      </c>
      <c r="J299" s="11">
        <v>300</v>
      </c>
      <c r="K299" s="13">
        <f>I299*J299</f>
        <v>1200</v>
      </c>
      <c r="L299" s="19">
        <f t="shared" si="13"/>
        <v>18</v>
      </c>
      <c r="M299" s="19">
        <f t="shared" si="14"/>
        <v>24</v>
      </c>
      <c r="N299" s="13" cm="1">
        <f t="array" ref="N299">_xlfn.IFS(C299=2023,K299*$P$2,C299=2024,K299*$P$3)</f>
        <v>18</v>
      </c>
    </row>
    <row r="300" spans="1:14">
      <c r="A300" s="2">
        <v>299</v>
      </c>
      <c r="B300" s="3">
        <v>45132</v>
      </c>
      <c r="C300" s="4">
        <f t="shared" si="12"/>
        <v>2023</v>
      </c>
      <c r="D300" s="4" t="s">
        <v>346</v>
      </c>
      <c r="E300" s="4" t="s">
        <v>16</v>
      </c>
      <c r="F300" s="4">
        <v>61</v>
      </c>
      <c r="G300" s="4" t="str" cm="1">
        <f t="array" ref="G300">_xlfn.IFS(F300&lt;30,"Young Adult",F300&lt;50,"Adult",F300&gt;=50,"Senior")</f>
        <v>Senior</v>
      </c>
      <c r="H300" s="4" t="s">
        <v>24</v>
      </c>
      <c r="I300" s="4">
        <v>2</v>
      </c>
      <c r="J300" s="11">
        <v>500</v>
      </c>
      <c r="K300" s="13">
        <f>I300*J300</f>
        <v>1000</v>
      </c>
      <c r="L300" s="19">
        <f t="shared" si="13"/>
        <v>15</v>
      </c>
      <c r="M300" s="19">
        <f t="shared" si="14"/>
        <v>20</v>
      </c>
      <c r="N300" s="13" cm="1">
        <f t="array" ref="N300">_xlfn.IFS(C300=2023,K300*$P$2,C300=2024,K300*$P$3)</f>
        <v>15</v>
      </c>
    </row>
    <row r="301" spans="1:14">
      <c r="A301" s="2">
        <v>300</v>
      </c>
      <c r="B301" s="3">
        <v>44957</v>
      </c>
      <c r="C301" s="4">
        <f t="shared" si="12"/>
        <v>2023</v>
      </c>
      <c r="D301" s="4" t="s">
        <v>347</v>
      </c>
      <c r="E301" s="4" t="s">
        <v>20</v>
      </c>
      <c r="F301" s="4">
        <v>19</v>
      </c>
      <c r="G301" s="4" t="str" cm="1">
        <f t="array" ref="G301">_xlfn.IFS(F301&lt;30,"Young Adult",F301&lt;50,"Adult",F301&gt;=50,"Senior")</f>
        <v>Young Adult</v>
      </c>
      <c r="H301" s="4" t="s">
        <v>24</v>
      </c>
      <c r="I301" s="4">
        <v>4</v>
      </c>
      <c r="J301" s="11">
        <v>50</v>
      </c>
      <c r="K301" s="13">
        <f>I301*J301</f>
        <v>200</v>
      </c>
      <c r="L301" s="19">
        <f t="shared" si="13"/>
        <v>3</v>
      </c>
      <c r="M301" s="19">
        <f t="shared" si="14"/>
        <v>4</v>
      </c>
      <c r="N301" s="13" cm="1">
        <f t="array" ref="N301">_xlfn.IFS(C301=2023,K301*$P$2,C301=2024,K301*$P$3)</f>
        <v>3</v>
      </c>
    </row>
    <row r="302" spans="1:14">
      <c r="A302" s="2">
        <v>301</v>
      </c>
      <c r="B302" s="3">
        <v>45011</v>
      </c>
      <c r="C302" s="4">
        <f t="shared" si="12"/>
        <v>2023</v>
      </c>
      <c r="D302" s="4" t="s">
        <v>348</v>
      </c>
      <c r="E302" s="4" t="s">
        <v>16</v>
      </c>
      <c r="F302" s="4">
        <v>30</v>
      </c>
      <c r="G302" s="4" t="str" cm="1">
        <f t="array" ref="G302">_xlfn.IFS(F302&lt;30,"Young Adult",F302&lt;50,"Adult",F302&gt;=50,"Senior")</f>
        <v>Adult</v>
      </c>
      <c r="H302" s="4" t="s">
        <v>21</v>
      </c>
      <c r="I302" s="4">
        <v>4</v>
      </c>
      <c r="J302" s="11">
        <v>30</v>
      </c>
      <c r="K302" s="13">
        <f>I302*J302</f>
        <v>120</v>
      </c>
      <c r="L302" s="19">
        <f t="shared" si="13"/>
        <v>1.7999999999999998</v>
      </c>
      <c r="M302" s="19">
        <f t="shared" si="14"/>
        <v>2.4</v>
      </c>
      <c r="N302" s="13" cm="1">
        <f t="array" ref="N302">_xlfn.IFS(C302=2023,K302*$P$2,C302=2024,K302*$P$3)</f>
        <v>1.7999999999999998</v>
      </c>
    </row>
    <row r="303" spans="1:14">
      <c r="A303" s="2">
        <v>302</v>
      </c>
      <c r="B303" s="3">
        <v>45121</v>
      </c>
      <c r="C303" s="4">
        <f t="shared" si="12"/>
        <v>2023</v>
      </c>
      <c r="D303" s="4" t="s">
        <v>349</v>
      </c>
      <c r="E303" s="4" t="s">
        <v>16</v>
      </c>
      <c r="F303" s="4">
        <v>57</v>
      </c>
      <c r="G303" s="4" t="str" cm="1">
        <f t="array" ref="G303">_xlfn.IFS(F303&lt;30,"Young Adult",F303&lt;50,"Adult",F303&gt;=50,"Senior")</f>
        <v>Senior</v>
      </c>
      <c r="H303" s="4" t="s">
        <v>17</v>
      </c>
      <c r="I303" s="4">
        <v>2</v>
      </c>
      <c r="J303" s="11">
        <v>300</v>
      </c>
      <c r="K303" s="13">
        <f>I303*J303</f>
        <v>600</v>
      </c>
      <c r="L303" s="19">
        <f t="shared" si="13"/>
        <v>9</v>
      </c>
      <c r="M303" s="19">
        <f t="shared" si="14"/>
        <v>12</v>
      </c>
      <c r="N303" s="13" cm="1">
        <f t="array" ref="N303">_xlfn.IFS(C303=2023,K303*$P$2,C303=2024,K303*$P$3)</f>
        <v>9</v>
      </c>
    </row>
    <row r="304" spans="1:14">
      <c r="A304" s="2">
        <v>303</v>
      </c>
      <c r="B304" s="3">
        <v>44928</v>
      </c>
      <c r="C304" s="4">
        <f t="shared" si="12"/>
        <v>2023</v>
      </c>
      <c r="D304" s="4" t="s">
        <v>350</v>
      </c>
      <c r="E304" s="4" t="s">
        <v>16</v>
      </c>
      <c r="F304" s="4">
        <v>19</v>
      </c>
      <c r="G304" s="4" t="str" cm="1">
        <f t="array" ref="G304">_xlfn.IFS(F304&lt;30,"Young Adult",F304&lt;50,"Adult",F304&gt;=50,"Senior")</f>
        <v>Young Adult</v>
      </c>
      <c r="H304" s="4" t="s">
        <v>24</v>
      </c>
      <c r="I304" s="4">
        <v>3</v>
      </c>
      <c r="J304" s="11">
        <v>30</v>
      </c>
      <c r="K304" s="13">
        <f>I304*J304</f>
        <v>90</v>
      </c>
      <c r="L304" s="19">
        <f t="shared" si="13"/>
        <v>1.3499999999999999</v>
      </c>
      <c r="M304" s="19">
        <f t="shared" si="14"/>
        <v>1.8</v>
      </c>
      <c r="N304" s="13" cm="1">
        <f t="array" ref="N304">_xlfn.IFS(C304=2023,K304*$P$2,C304=2024,K304*$P$3)</f>
        <v>1.3499999999999999</v>
      </c>
    </row>
    <row r="305" spans="1:14">
      <c r="A305" s="2">
        <v>304</v>
      </c>
      <c r="B305" s="3">
        <v>45126</v>
      </c>
      <c r="C305" s="4">
        <f t="shared" si="12"/>
        <v>2023</v>
      </c>
      <c r="D305" s="4" t="s">
        <v>351</v>
      </c>
      <c r="E305" s="4" t="s">
        <v>20</v>
      </c>
      <c r="F305" s="4">
        <v>37</v>
      </c>
      <c r="G305" s="4" t="str" cm="1">
        <f t="array" ref="G305">_xlfn.IFS(F305&lt;30,"Young Adult",F305&lt;50,"Adult",F305&gt;=50,"Senior")</f>
        <v>Adult</v>
      </c>
      <c r="H305" s="4" t="s">
        <v>24</v>
      </c>
      <c r="I305" s="4">
        <v>2</v>
      </c>
      <c r="J305" s="11">
        <v>30</v>
      </c>
      <c r="K305" s="13">
        <f>I305*J305</f>
        <v>60</v>
      </c>
      <c r="L305" s="19">
        <f t="shared" si="13"/>
        <v>0.89999999999999991</v>
      </c>
      <c r="M305" s="19">
        <f t="shared" si="14"/>
        <v>1.2</v>
      </c>
      <c r="N305" s="13" cm="1">
        <f t="array" ref="N305">_xlfn.IFS(C305=2023,K305*$P$2,C305=2024,K305*$P$3)</f>
        <v>0.89999999999999991</v>
      </c>
    </row>
    <row r="306" spans="1:14">
      <c r="A306" s="2">
        <v>305</v>
      </c>
      <c r="B306" s="3">
        <v>45062</v>
      </c>
      <c r="C306" s="4">
        <f t="shared" si="12"/>
        <v>2023</v>
      </c>
      <c r="D306" s="4" t="s">
        <v>352</v>
      </c>
      <c r="E306" s="4" t="s">
        <v>20</v>
      </c>
      <c r="F306" s="4">
        <v>18</v>
      </c>
      <c r="G306" s="4" t="str" cm="1">
        <f t="array" ref="G306">_xlfn.IFS(F306&lt;30,"Young Adult",F306&lt;50,"Adult",F306&gt;=50,"Senior")</f>
        <v>Young Adult</v>
      </c>
      <c r="H306" s="4" t="s">
        <v>17</v>
      </c>
      <c r="I306" s="4">
        <v>1</v>
      </c>
      <c r="J306" s="11">
        <v>30</v>
      </c>
      <c r="K306" s="13">
        <f>I306*J306</f>
        <v>30</v>
      </c>
      <c r="L306" s="19">
        <f t="shared" si="13"/>
        <v>0.44999999999999996</v>
      </c>
      <c r="M306" s="19">
        <f t="shared" si="14"/>
        <v>0.6</v>
      </c>
      <c r="N306" s="13" cm="1">
        <f t="array" ref="N306">_xlfn.IFS(C306=2023,K306*$P$2,C306=2024,K306*$P$3)</f>
        <v>0.44999999999999996</v>
      </c>
    </row>
    <row r="307" spans="1:14">
      <c r="A307" s="2">
        <v>306</v>
      </c>
      <c r="B307" s="3">
        <v>45159</v>
      </c>
      <c r="C307" s="4">
        <f t="shared" si="12"/>
        <v>2023</v>
      </c>
      <c r="D307" s="4" t="s">
        <v>353</v>
      </c>
      <c r="E307" s="4" t="s">
        <v>16</v>
      </c>
      <c r="F307" s="4">
        <v>54</v>
      </c>
      <c r="G307" s="4" t="str" cm="1">
        <f t="array" ref="G307">_xlfn.IFS(F307&lt;30,"Young Adult",F307&lt;50,"Adult",F307&gt;=50,"Senior")</f>
        <v>Senior</v>
      </c>
      <c r="H307" s="4" t="s">
        <v>24</v>
      </c>
      <c r="I307" s="4">
        <v>1</v>
      </c>
      <c r="J307" s="11">
        <v>50</v>
      </c>
      <c r="K307" s="13">
        <f>I307*J307</f>
        <v>50</v>
      </c>
      <c r="L307" s="19">
        <f t="shared" si="13"/>
        <v>0.75</v>
      </c>
      <c r="M307" s="19">
        <f t="shared" si="14"/>
        <v>1</v>
      </c>
      <c r="N307" s="13" cm="1">
        <f t="array" ref="N307">_xlfn.IFS(C307=2023,K307*$P$2,C307=2024,K307*$P$3)</f>
        <v>0.75</v>
      </c>
    </row>
    <row r="308" spans="1:14">
      <c r="A308" s="2">
        <v>307</v>
      </c>
      <c r="B308" s="3">
        <v>45073</v>
      </c>
      <c r="C308" s="4">
        <f t="shared" si="12"/>
        <v>2023</v>
      </c>
      <c r="D308" s="4" t="s">
        <v>354</v>
      </c>
      <c r="E308" s="4" t="s">
        <v>20</v>
      </c>
      <c r="F308" s="4">
        <v>26</v>
      </c>
      <c r="G308" s="4" t="str" cm="1">
        <f t="array" ref="G308">_xlfn.IFS(F308&lt;30,"Young Adult",F308&lt;50,"Adult",F308&gt;=50,"Senior")</f>
        <v>Young Adult</v>
      </c>
      <c r="H308" s="4" t="s">
        <v>24</v>
      </c>
      <c r="I308" s="4">
        <v>2</v>
      </c>
      <c r="J308" s="11">
        <v>25</v>
      </c>
      <c r="K308" s="13">
        <f>I308*J308</f>
        <v>50</v>
      </c>
      <c r="L308" s="19">
        <f t="shared" si="13"/>
        <v>0.75</v>
      </c>
      <c r="M308" s="19">
        <f t="shared" si="14"/>
        <v>1</v>
      </c>
      <c r="N308" s="13" cm="1">
        <f t="array" ref="N308">_xlfn.IFS(C308=2023,K308*$P$2,C308=2024,K308*$P$3)</f>
        <v>0.75</v>
      </c>
    </row>
    <row r="309" spans="1:14">
      <c r="A309" s="2">
        <v>308</v>
      </c>
      <c r="B309" s="3">
        <v>45143</v>
      </c>
      <c r="C309" s="4">
        <f t="shared" si="12"/>
        <v>2023</v>
      </c>
      <c r="D309" s="4" t="s">
        <v>355</v>
      </c>
      <c r="E309" s="4" t="s">
        <v>20</v>
      </c>
      <c r="F309" s="4">
        <v>34</v>
      </c>
      <c r="G309" s="4" t="str" cm="1">
        <f t="array" ref="G309">_xlfn.IFS(F309&lt;30,"Young Adult",F309&lt;50,"Adult",F309&gt;=50,"Senior")</f>
        <v>Adult</v>
      </c>
      <c r="H309" s="4" t="s">
        <v>17</v>
      </c>
      <c r="I309" s="4">
        <v>4</v>
      </c>
      <c r="J309" s="11">
        <v>300</v>
      </c>
      <c r="K309" s="13">
        <f>I309*J309</f>
        <v>1200</v>
      </c>
      <c r="L309" s="19">
        <f t="shared" si="13"/>
        <v>18</v>
      </c>
      <c r="M309" s="19">
        <f t="shared" si="14"/>
        <v>24</v>
      </c>
      <c r="N309" s="13" cm="1">
        <f t="array" ref="N309">_xlfn.IFS(C309=2023,K309*$P$2,C309=2024,K309*$P$3)</f>
        <v>18</v>
      </c>
    </row>
    <row r="310" spans="1:14">
      <c r="A310" s="2">
        <v>309</v>
      </c>
      <c r="B310" s="3">
        <v>45283</v>
      </c>
      <c r="C310" s="4">
        <f t="shared" si="12"/>
        <v>2023</v>
      </c>
      <c r="D310" s="4" t="s">
        <v>356</v>
      </c>
      <c r="E310" s="4" t="s">
        <v>20</v>
      </c>
      <c r="F310" s="4">
        <v>26</v>
      </c>
      <c r="G310" s="4" t="str" cm="1">
        <f t="array" ref="G310">_xlfn.IFS(F310&lt;30,"Young Adult",F310&lt;50,"Adult",F310&gt;=50,"Senior")</f>
        <v>Young Adult</v>
      </c>
      <c r="H310" s="4" t="s">
        <v>17</v>
      </c>
      <c r="I310" s="4">
        <v>1</v>
      </c>
      <c r="J310" s="11">
        <v>25</v>
      </c>
      <c r="K310" s="13">
        <f>I310*J310</f>
        <v>25</v>
      </c>
      <c r="L310" s="19">
        <f t="shared" si="13"/>
        <v>0.375</v>
      </c>
      <c r="M310" s="19">
        <f t="shared" si="14"/>
        <v>0.5</v>
      </c>
      <c r="N310" s="13" cm="1">
        <f t="array" ref="N310">_xlfn.IFS(C310=2023,K310*$P$2,C310=2024,K310*$P$3)</f>
        <v>0.375</v>
      </c>
    </row>
    <row r="311" spans="1:14">
      <c r="A311" s="2">
        <v>310</v>
      </c>
      <c r="B311" s="3">
        <v>45211</v>
      </c>
      <c r="C311" s="4">
        <f t="shared" si="12"/>
        <v>2023</v>
      </c>
      <c r="D311" s="4" t="s">
        <v>357</v>
      </c>
      <c r="E311" s="4" t="s">
        <v>20</v>
      </c>
      <c r="F311" s="4">
        <v>28</v>
      </c>
      <c r="G311" s="4" t="str" cm="1">
        <f t="array" ref="G311">_xlfn.IFS(F311&lt;30,"Young Adult",F311&lt;50,"Adult",F311&gt;=50,"Senior")</f>
        <v>Young Adult</v>
      </c>
      <c r="H311" s="4" t="s">
        <v>17</v>
      </c>
      <c r="I311" s="4">
        <v>1</v>
      </c>
      <c r="J311" s="11">
        <v>25</v>
      </c>
      <c r="K311" s="13">
        <f>I311*J311</f>
        <v>25</v>
      </c>
      <c r="L311" s="19">
        <f t="shared" si="13"/>
        <v>0.375</v>
      </c>
      <c r="M311" s="19">
        <f t="shared" si="14"/>
        <v>0.5</v>
      </c>
      <c r="N311" s="13" cm="1">
        <f t="array" ref="N311">_xlfn.IFS(C311=2023,K311*$P$2,C311=2024,K311*$P$3)</f>
        <v>0.375</v>
      </c>
    </row>
    <row r="312" spans="1:14">
      <c r="A312" s="2">
        <v>311</v>
      </c>
      <c r="B312" s="3">
        <v>45265</v>
      </c>
      <c r="C312" s="4">
        <f t="shared" si="12"/>
        <v>2023</v>
      </c>
      <c r="D312" s="4" t="s">
        <v>358</v>
      </c>
      <c r="E312" s="4" t="s">
        <v>20</v>
      </c>
      <c r="F312" s="4">
        <v>32</v>
      </c>
      <c r="G312" s="4" t="str" cm="1">
        <f t="array" ref="G312">_xlfn.IFS(F312&lt;30,"Young Adult",F312&lt;50,"Adult",F312&gt;=50,"Senior")</f>
        <v>Adult</v>
      </c>
      <c r="H312" s="4" t="s">
        <v>17</v>
      </c>
      <c r="I312" s="4">
        <v>4</v>
      </c>
      <c r="J312" s="11">
        <v>25</v>
      </c>
      <c r="K312" s="13">
        <f>I312*J312</f>
        <v>100</v>
      </c>
      <c r="L312" s="19">
        <f t="shared" si="13"/>
        <v>1.5</v>
      </c>
      <c r="M312" s="19">
        <f t="shared" si="14"/>
        <v>2</v>
      </c>
      <c r="N312" s="13" cm="1">
        <f t="array" ref="N312">_xlfn.IFS(C312=2023,K312*$P$2,C312=2024,K312*$P$3)</f>
        <v>1.5</v>
      </c>
    </row>
    <row r="313" spans="1:14">
      <c r="A313" s="2">
        <v>312</v>
      </c>
      <c r="B313" s="3">
        <v>45176</v>
      </c>
      <c r="C313" s="4">
        <f t="shared" si="12"/>
        <v>2023</v>
      </c>
      <c r="D313" s="4" t="s">
        <v>359</v>
      </c>
      <c r="E313" s="4" t="s">
        <v>16</v>
      </c>
      <c r="F313" s="4">
        <v>41</v>
      </c>
      <c r="G313" s="4" t="str" cm="1">
        <f t="array" ref="G313">_xlfn.IFS(F313&lt;30,"Young Adult",F313&lt;50,"Adult",F313&gt;=50,"Senior")</f>
        <v>Adult</v>
      </c>
      <c r="H313" s="4" t="s">
        <v>21</v>
      </c>
      <c r="I313" s="4">
        <v>4</v>
      </c>
      <c r="J313" s="11">
        <v>30</v>
      </c>
      <c r="K313" s="13">
        <f>I313*J313</f>
        <v>120</v>
      </c>
      <c r="L313" s="19">
        <f t="shared" si="13"/>
        <v>1.7999999999999998</v>
      </c>
      <c r="M313" s="19">
        <f t="shared" si="14"/>
        <v>2.4</v>
      </c>
      <c r="N313" s="13" cm="1">
        <f t="array" ref="N313">_xlfn.IFS(C313=2023,K313*$P$2,C313=2024,K313*$P$3)</f>
        <v>1.7999999999999998</v>
      </c>
    </row>
    <row r="314" spans="1:14">
      <c r="A314" s="2">
        <v>313</v>
      </c>
      <c r="B314" s="3">
        <v>45006</v>
      </c>
      <c r="C314" s="4">
        <f t="shared" si="12"/>
        <v>2023</v>
      </c>
      <c r="D314" s="4" t="s">
        <v>360</v>
      </c>
      <c r="E314" s="4" t="s">
        <v>20</v>
      </c>
      <c r="F314" s="4">
        <v>55</v>
      </c>
      <c r="G314" s="4" t="str" cm="1">
        <f t="array" ref="G314">_xlfn.IFS(F314&lt;30,"Young Adult",F314&lt;50,"Adult",F314&gt;=50,"Senior")</f>
        <v>Senior</v>
      </c>
      <c r="H314" s="4" t="s">
        <v>17</v>
      </c>
      <c r="I314" s="4">
        <v>3</v>
      </c>
      <c r="J314" s="11">
        <v>500</v>
      </c>
      <c r="K314" s="13">
        <f>I314*J314</f>
        <v>1500</v>
      </c>
      <c r="L314" s="19">
        <f t="shared" si="13"/>
        <v>22.5</v>
      </c>
      <c r="M314" s="19">
        <f t="shared" si="14"/>
        <v>30</v>
      </c>
      <c r="N314" s="13" cm="1">
        <f t="array" ref="N314">_xlfn.IFS(C314=2023,K314*$P$2,C314=2024,K314*$P$3)</f>
        <v>22.5</v>
      </c>
    </row>
    <row r="315" spans="1:14">
      <c r="A315" s="2">
        <v>314</v>
      </c>
      <c r="B315" s="3">
        <v>45024</v>
      </c>
      <c r="C315" s="4">
        <f t="shared" si="12"/>
        <v>2023</v>
      </c>
      <c r="D315" s="4" t="s">
        <v>361</v>
      </c>
      <c r="E315" s="4" t="s">
        <v>16</v>
      </c>
      <c r="F315" s="4">
        <v>52</v>
      </c>
      <c r="G315" s="4" t="str" cm="1">
        <f t="array" ref="G315">_xlfn.IFS(F315&lt;30,"Young Adult",F315&lt;50,"Adult",F315&gt;=50,"Senior")</f>
        <v>Senior</v>
      </c>
      <c r="H315" s="4" t="s">
        <v>21</v>
      </c>
      <c r="I315" s="4">
        <v>4</v>
      </c>
      <c r="J315" s="11">
        <v>30</v>
      </c>
      <c r="K315" s="13">
        <f>I315*J315</f>
        <v>120</v>
      </c>
      <c r="L315" s="19">
        <f t="shared" si="13"/>
        <v>1.7999999999999998</v>
      </c>
      <c r="M315" s="19">
        <f t="shared" si="14"/>
        <v>2.4</v>
      </c>
      <c r="N315" s="13" cm="1">
        <f t="array" ref="N315">_xlfn.IFS(C315=2023,K315*$P$2,C315=2024,K315*$P$3)</f>
        <v>1.7999999999999998</v>
      </c>
    </row>
    <row r="316" spans="1:14">
      <c r="A316" s="2">
        <v>315</v>
      </c>
      <c r="B316" s="3">
        <v>45078</v>
      </c>
      <c r="C316" s="4">
        <f t="shared" si="12"/>
        <v>2023</v>
      </c>
      <c r="D316" s="4" t="s">
        <v>362</v>
      </c>
      <c r="E316" s="4" t="s">
        <v>16</v>
      </c>
      <c r="F316" s="4">
        <v>47</v>
      </c>
      <c r="G316" s="4" t="str" cm="1">
        <f t="array" ref="G316">_xlfn.IFS(F316&lt;30,"Young Adult",F316&lt;50,"Adult",F316&gt;=50,"Senior")</f>
        <v>Adult</v>
      </c>
      <c r="H316" s="4" t="s">
        <v>21</v>
      </c>
      <c r="I316" s="4">
        <v>2</v>
      </c>
      <c r="J316" s="11">
        <v>30</v>
      </c>
      <c r="K316" s="13">
        <f>I316*J316</f>
        <v>60</v>
      </c>
      <c r="L316" s="19">
        <f t="shared" si="13"/>
        <v>0.89999999999999991</v>
      </c>
      <c r="M316" s="19">
        <f t="shared" si="14"/>
        <v>1.2</v>
      </c>
      <c r="N316" s="13" cm="1">
        <f t="array" ref="N316">_xlfn.IFS(C316=2023,K316*$P$2,C316=2024,K316*$P$3)</f>
        <v>0.89999999999999991</v>
      </c>
    </row>
    <row r="317" spans="1:14">
      <c r="A317" s="2">
        <v>316</v>
      </c>
      <c r="B317" s="3">
        <v>45038</v>
      </c>
      <c r="C317" s="4">
        <f t="shared" si="12"/>
        <v>2023</v>
      </c>
      <c r="D317" s="4" t="s">
        <v>363</v>
      </c>
      <c r="E317" s="4" t="s">
        <v>20</v>
      </c>
      <c r="F317" s="4">
        <v>48</v>
      </c>
      <c r="G317" s="4" t="str" cm="1">
        <f t="array" ref="G317">_xlfn.IFS(F317&lt;30,"Young Adult",F317&lt;50,"Adult",F317&gt;=50,"Senior")</f>
        <v>Adult</v>
      </c>
      <c r="H317" s="4" t="s">
        <v>21</v>
      </c>
      <c r="I317" s="4">
        <v>2</v>
      </c>
      <c r="J317" s="11">
        <v>25</v>
      </c>
      <c r="K317" s="13">
        <f>I317*J317</f>
        <v>50</v>
      </c>
      <c r="L317" s="19">
        <f t="shared" si="13"/>
        <v>0.75</v>
      </c>
      <c r="M317" s="19">
        <f t="shared" si="14"/>
        <v>1</v>
      </c>
      <c r="N317" s="13" cm="1">
        <f t="array" ref="N317">_xlfn.IFS(C317=2023,K317*$P$2,C317=2024,K317*$P$3)</f>
        <v>0.75</v>
      </c>
    </row>
    <row r="318" spans="1:14">
      <c r="A318" s="2">
        <v>317</v>
      </c>
      <c r="B318" s="3">
        <v>44956</v>
      </c>
      <c r="C318" s="4">
        <f t="shared" si="12"/>
        <v>2023</v>
      </c>
      <c r="D318" s="4" t="s">
        <v>364</v>
      </c>
      <c r="E318" s="4" t="s">
        <v>16</v>
      </c>
      <c r="F318" s="4">
        <v>22</v>
      </c>
      <c r="G318" s="4" t="str" cm="1">
        <f t="array" ref="G318">_xlfn.IFS(F318&lt;30,"Young Adult",F318&lt;50,"Adult",F318&gt;=50,"Senior")</f>
        <v>Young Adult</v>
      </c>
      <c r="H318" s="4" t="s">
        <v>24</v>
      </c>
      <c r="I318" s="4">
        <v>3</v>
      </c>
      <c r="J318" s="11">
        <v>30</v>
      </c>
      <c r="K318" s="13">
        <f>I318*J318</f>
        <v>90</v>
      </c>
      <c r="L318" s="19">
        <f t="shared" si="13"/>
        <v>1.3499999999999999</v>
      </c>
      <c r="M318" s="19">
        <f t="shared" si="14"/>
        <v>1.8</v>
      </c>
      <c r="N318" s="13" cm="1">
        <f t="array" ref="N318">_xlfn.IFS(C318=2023,K318*$P$2,C318=2024,K318*$P$3)</f>
        <v>1.3499999999999999</v>
      </c>
    </row>
    <row r="319" spans="1:14">
      <c r="A319" s="2">
        <v>318</v>
      </c>
      <c r="B319" s="3">
        <v>45223</v>
      </c>
      <c r="C319" s="4">
        <f t="shared" si="12"/>
        <v>2023</v>
      </c>
      <c r="D319" s="4" t="s">
        <v>365</v>
      </c>
      <c r="E319" s="4" t="s">
        <v>16</v>
      </c>
      <c r="F319" s="4">
        <v>61</v>
      </c>
      <c r="G319" s="4" t="str" cm="1">
        <f t="array" ref="G319">_xlfn.IFS(F319&lt;30,"Young Adult",F319&lt;50,"Adult",F319&gt;=50,"Senior")</f>
        <v>Senior</v>
      </c>
      <c r="H319" s="4" t="s">
        <v>21</v>
      </c>
      <c r="I319" s="4">
        <v>1</v>
      </c>
      <c r="J319" s="11">
        <v>25</v>
      </c>
      <c r="K319" s="13">
        <f>I319*J319</f>
        <v>25</v>
      </c>
      <c r="L319" s="19">
        <f t="shared" si="13"/>
        <v>0.375</v>
      </c>
      <c r="M319" s="19">
        <f t="shared" si="14"/>
        <v>0.5</v>
      </c>
      <c r="N319" s="13" cm="1">
        <f t="array" ref="N319">_xlfn.IFS(C319=2023,K319*$P$2,C319=2024,K319*$P$3)</f>
        <v>0.375</v>
      </c>
    </row>
    <row r="320" spans="1:14">
      <c r="A320" s="2">
        <v>319</v>
      </c>
      <c r="B320" s="3">
        <v>45204</v>
      </c>
      <c r="C320" s="4">
        <f t="shared" si="12"/>
        <v>2023</v>
      </c>
      <c r="D320" s="4" t="s">
        <v>366</v>
      </c>
      <c r="E320" s="4" t="s">
        <v>16</v>
      </c>
      <c r="F320" s="4">
        <v>31</v>
      </c>
      <c r="G320" s="4" t="str" cm="1">
        <f t="array" ref="G320">_xlfn.IFS(F320&lt;30,"Young Adult",F320&lt;50,"Adult",F320&gt;=50,"Senior")</f>
        <v>Adult</v>
      </c>
      <c r="H320" s="4" t="s">
        <v>21</v>
      </c>
      <c r="I320" s="4">
        <v>1</v>
      </c>
      <c r="J320" s="11">
        <v>500</v>
      </c>
      <c r="K320" s="13">
        <f>I320*J320</f>
        <v>500</v>
      </c>
      <c r="L320" s="19">
        <f t="shared" si="13"/>
        <v>7.5</v>
      </c>
      <c r="M320" s="19">
        <f t="shared" si="14"/>
        <v>10</v>
      </c>
      <c r="N320" s="13" cm="1">
        <f t="array" ref="N320">_xlfn.IFS(C320=2023,K320*$P$2,C320=2024,K320*$P$3)</f>
        <v>7.5</v>
      </c>
    </row>
    <row r="321" spans="1:14">
      <c r="A321" s="2">
        <v>320</v>
      </c>
      <c r="B321" s="3">
        <v>44958</v>
      </c>
      <c r="C321" s="4">
        <f t="shared" si="12"/>
        <v>2023</v>
      </c>
      <c r="D321" s="4" t="s">
        <v>367</v>
      </c>
      <c r="E321" s="4" t="s">
        <v>20</v>
      </c>
      <c r="F321" s="4">
        <v>28</v>
      </c>
      <c r="G321" s="4" t="str" cm="1">
        <f t="array" ref="G321">_xlfn.IFS(F321&lt;30,"Young Adult",F321&lt;50,"Adult",F321&gt;=50,"Senior")</f>
        <v>Young Adult</v>
      </c>
      <c r="H321" s="4" t="s">
        <v>24</v>
      </c>
      <c r="I321" s="4">
        <v>4</v>
      </c>
      <c r="J321" s="11">
        <v>300</v>
      </c>
      <c r="K321" s="13">
        <f>I321*J321</f>
        <v>1200</v>
      </c>
      <c r="L321" s="19">
        <f t="shared" si="13"/>
        <v>18</v>
      </c>
      <c r="M321" s="19">
        <f t="shared" si="14"/>
        <v>24</v>
      </c>
      <c r="N321" s="13" cm="1">
        <f t="array" ref="N321">_xlfn.IFS(C321=2023,K321*$P$2,C321=2024,K321*$P$3)</f>
        <v>18</v>
      </c>
    </row>
    <row r="322" spans="1:14">
      <c r="A322" s="2">
        <v>321</v>
      </c>
      <c r="B322" s="3">
        <v>45087</v>
      </c>
      <c r="C322" s="4">
        <f t="shared" si="12"/>
        <v>2023</v>
      </c>
      <c r="D322" s="4" t="s">
        <v>368</v>
      </c>
      <c r="E322" s="4" t="s">
        <v>20</v>
      </c>
      <c r="F322" s="4">
        <v>26</v>
      </c>
      <c r="G322" s="4" t="str" cm="1">
        <f t="array" ref="G322">_xlfn.IFS(F322&lt;30,"Young Adult",F322&lt;50,"Adult",F322&gt;=50,"Senior")</f>
        <v>Young Adult</v>
      </c>
      <c r="H322" s="4" t="s">
        <v>24</v>
      </c>
      <c r="I322" s="4">
        <v>2</v>
      </c>
      <c r="J322" s="11">
        <v>25</v>
      </c>
      <c r="K322" s="13">
        <f>I322*J322</f>
        <v>50</v>
      </c>
      <c r="L322" s="19">
        <f t="shared" si="13"/>
        <v>0.75</v>
      </c>
      <c r="M322" s="19">
        <f t="shared" si="14"/>
        <v>1</v>
      </c>
      <c r="N322" s="13" cm="1">
        <f t="array" ref="N322">_xlfn.IFS(C322=2023,K322*$P$2,C322=2024,K322*$P$3)</f>
        <v>0.75</v>
      </c>
    </row>
    <row r="323" spans="1:14">
      <c r="A323" s="2">
        <v>322</v>
      </c>
      <c r="B323" s="3">
        <v>44956</v>
      </c>
      <c r="C323" s="4">
        <f t="shared" ref="C323:C386" si="15">YEAR(B323)</f>
        <v>2023</v>
      </c>
      <c r="D323" s="4" t="s">
        <v>369</v>
      </c>
      <c r="E323" s="4" t="s">
        <v>16</v>
      </c>
      <c r="F323" s="4">
        <v>51</v>
      </c>
      <c r="G323" s="4" t="str" cm="1">
        <f t="array" ref="G323">_xlfn.IFS(F323&lt;30,"Young Adult",F323&lt;50,"Adult",F323&gt;=50,"Senior")</f>
        <v>Senior</v>
      </c>
      <c r="H323" s="4" t="s">
        <v>24</v>
      </c>
      <c r="I323" s="4">
        <v>1</v>
      </c>
      <c r="J323" s="11">
        <v>500</v>
      </c>
      <c r="K323" s="13">
        <f>I323*J323</f>
        <v>500</v>
      </c>
      <c r="L323" s="19">
        <f t="shared" ref="L323:L386" si="16">K323*$P$2</f>
        <v>7.5</v>
      </c>
      <c r="M323" s="19">
        <f t="shared" ref="M323:M386" si="17">K323*$P$3</f>
        <v>10</v>
      </c>
      <c r="N323" s="13" cm="1">
        <f t="array" ref="N323">_xlfn.IFS(C323=2023,K323*$P$2,C323=2024,K323*$P$3)</f>
        <v>7.5</v>
      </c>
    </row>
    <row r="324" spans="1:14">
      <c r="A324" s="2">
        <v>323</v>
      </c>
      <c r="B324" s="3">
        <v>44952</v>
      </c>
      <c r="C324" s="4">
        <f t="shared" si="15"/>
        <v>2023</v>
      </c>
      <c r="D324" s="4" t="s">
        <v>370</v>
      </c>
      <c r="E324" s="4" t="s">
        <v>20</v>
      </c>
      <c r="F324" s="4">
        <v>29</v>
      </c>
      <c r="G324" s="4" t="str" cm="1">
        <f t="array" ref="G324">_xlfn.IFS(F324&lt;30,"Young Adult",F324&lt;50,"Adult",F324&gt;=50,"Senior")</f>
        <v>Young Adult</v>
      </c>
      <c r="H324" s="4" t="s">
        <v>17</v>
      </c>
      <c r="I324" s="4">
        <v>3</v>
      </c>
      <c r="J324" s="11">
        <v>300</v>
      </c>
      <c r="K324" s="13">
        <f>I324*J324</f>
        <v>900</v>
      </c>
      <c r="L324" s="19">
        <f t="shared" si="16"/>
        <v>13.5</v>
      </c>
      <c r="M324" s="19">
        <f t="shared" si="17"/>
        <v>18</v>
      </c>
      <c r="N324" s="13" cm="1">
        <f t="array" ref="N324">_xlfn.IFS(C324=2023,K324*$P$2,C324=2024,K324*$P$3)</f>
        <v>13.5</v>
      </c>
    </row>
    <row r="325" spans="1:14">
      <c r="A325" s="2">
        <v>324</v>
      </c>
      <c r="B325" s="3">
        <v>45226</v>
      </c>
      <c r="C325" s="4">
        <f t="shared" si="15"/>
        <v>2023</v>
      </c>
      <c r="D325" s="4" t="s">
        <v>371</v>
      </c>
      <c r="E325" s="4" t="s">
        <v>20</v>
      </c>
      <c r="F325" s="4">
        <v>52</v>
      </c>
      <c r="G325" s="4" t="str" cm="1">
        <f t="array" ref="G325">_xlfn.IFS(F325&lt;30,"Young Adult",F325&lt;50,"Adult",F325&gt;=50,"Senior")</f>
        <v>Senior</v>
      </c>
      <c r="H325" s="4" t="s">
        <v>24</v>
      </c>
      <c r="I325" s="4">
        <v>3</v>
      </c>
      <c r="J325" s="11">
        <v>50</v>
      </c>
      <c r="K325" s="13">
        <f>I325*J325</f>
        <v>150</v>
      </c>
      <c r="L325" s="19">
        <f t="shared" si="16"/>
        <v>2.25</v>
      </c>
      <c r="M325" s="19">
        <f t="shared" si="17"/>
        <v>3</v>
      </c>
      <c r="N325" s="13" cm="1">
        <f t="array" ref="N325">_xlfn.IFS(C325=2023,K325*$P$2,C325=2024,K325*$P$3)</f>
        <v>2.25</v>
      </c>
    </row>
    <row r="326" spans="1:14">
      <c r="A326" s="2">
        <v>325</v>
      </c>
      <c r="B326" s="3">
        <v>45171</v>
      </c>
      <c r="C326" s="4">
        <f t="shared" si="15"/>
        <v>2023</v>
      </c>
      <c r="D326" s="4" t="s">
        <v>372</v>
      </c>
      <c r="E326" s="4" t="s">
        <v>20</v>
      </c>
      <c r="F326" s="4">
        <v>52</v>
      </c>
      <c r="G326" s="4" t="str" cm="1">
        <f t="array" ref="G326">_xlfn.IFS(F326&lt;30,"Young Adult",F326&lt;50,"Adult",F326&gt;=50,"Senior")</f>
        <v>Senior</v>
      </c>
      <c r="H326" s="4" t="s">
        <v>24</v>
      </c>
      <c r="I326" s="4">
        <v>2</v>
      </c>
      <c r="J326" s="11">
        <v>25</v>
      </c>
      <c r="K326" s="13">
        <f>I326*J326</f>
        <v>50</v>
      </c>
      <c r="L326" s="19">
        <f t="shared" si="16"/>
        <v>0.75</v>
      </c>
      <c r="M326" s="19">
        <f t="shared" si="17"/>
        <v>1</v>
      </c>
      <c r="N326" s="13" cm="1">
        <f t="array" ref="N326">_xlfn.IFS(C326=2023,K326*$P$2,C326=2024,K326*$P$3)</f>
        <v>0.75</v>
      </c>
    </row>
    <row r="327" spans="1:14">
      <c r="A327" s="2">
        <v>326</v>
      </c>
      <c r="B327" s="3">
        <v>45184</v>
      </c>
      <c r="C327" s="4">
        <f t="shared" si="15"/>
        <v>2023</v>
      </c>
      <c r="D327" s="4" t="s">
        <v>373</v>
      </c>
      <c r="E327" s="4" t="s">
        <v>20</v>
      </c>
      <c r="F327" s="4">
        <v>18</v>
      </c>
      <c r="G327" s="4" t="str" cm="1">
        <f t="array" ref="G327">_xlfn.IFS(F327&lt;30,"Young Adult",F327&lt;50,"Adult",F327&gt;=50,"Senior")</f>
        <v>Young Adult</v>
      </c>
      <c r="H327" s="4" t="s">
        <v>21</v>
      </c>
      <c r="I327" s="4">
        <v>3</v>
      </c>
      <c r="J327" s="11">
        <v>25</v>
      </c>
      <c r="K327" s="13">
        <f>I327*J327</f>
        <v>75</v>
      </c>
      <c r="L327" s="19">
        <f t="shared" si="16"/>
        <v>1.125</v>
      </c>
      <c r="M327" s="19">
        <f t="shared" si="17"/>
        <v>1.5</v>
      </c>
      <c r="N327" s="13" cm="1">
        <f t="array" ref="N327">_xlfn.IFS(C327=2023,K327*$P$2,C327=2024,K327*$P$3)</f>
        <v>1.125</v>
      </c>
    </row>
    <row r="328" spans="1:14">
      <c r="A328" s="2">
        <v>327</v>
      </c>
      <c r="B328" s="3">
        <v>45198</v>
      </c>
      <c r="C328" s="4">
        <f t="shared" si="15"/>
        <v>2023</v>
      </c>
      <c r="D328" s="4" t="s">
        <v>374</v>
      </c>
      <c r="E328" s="4" t="s">
        <v>16</v>
      </c>
      <c r="F328" s="4">
        <v>57</v>
      </c>
      <c r="G328" s="4" t="str" cm="1">
        <f t="array" ref="G328">_xlfn.IFS(F328&lt;30,"Young Adult",F328&lt;50,"Adult",F328&gt;=50,"Senior")</f>
        <v>Senior</v>
      </c>
      <c r="H328" s="4" t="s">
        <v>24</v>
      </c>
      <c r="I328" s="4">
        <v>3</v>
      </c>
      <c r="J328" s="11">
        <v>50</v>
      </c>
      <c r="K328" s="13">
        <f>I328*J328</f>
        <v>150</v>
      </c>
      <c r="L328" s="19">
        <f t="shared" si="16"/>
        <v>2.25</v>
      </c>
      <c r="M328" s="19">
        <f t="shared" si="17"/>
        <v>3</v>
      </c>
      <c r="N328" s="13" cm="1">
        <f t="array" ref="N328">_xlfn.IFS(C328=2023,K328*$P$2,C328=2024,K328*$P$3)</f>
        <v>2.25</v>
      </c>
    </row>
    <row r="329" spans="1:14">
      <c r="A329" s="2">
        <v>328</v>
      </c>
      <c r="B329" s="3">
        <v>45007</v>
      </c>
      <c r="C329" s="4">
        <f t="shared" si="15"/>
        <v>2023</v>
      </c>
      <c r="D329" s="4" t="s">
        <v>375</v>
      </c>
      <c r="E329" s="4" t="s">
        <v>16</v>
      </c>
      <c r="F329" s="4">
        <v>39</v>
      </c>
      <c r="G329" s="4" t="str" cm="1">
        <f t="array" ref="G329">_xlfn.IFS(F329&lt;30,"Young Adult",F329&lt;50,"Adult",F329&gt;=50,"Senior")</f>
        <v>Adult</v>
      </c>
      <c r="H329" s="4" t="s">
        <v>17</v>
      </c>
      <c r="I329" s="4">
        <v>2</v>
      </c>
      <c r="J329" s="11">
        <v>50</v>
      </c>
      <c r="K329" s="13">
        <f>I329*J329</f>
        <v>100</v>
      </c>
      <c r="L329" s="19">
        <f t="shared" si="16"/>
        <v>1.5</v>
      </c>
      <c r="M329" s="19">
        <f t="shared" si="17"/>
        <v>2</v>
      </c>
      <c r="N329" s="13" cm="1">
        <f t="array" ref="N329">_xlfn.IFS(C329=2023,K329*$P$2,C329=2024,K329*$P$3)</f>
        <v>1.5</v>
      </c>
    </row>
    <row r="330" spans="1:14">
      <c r="A330" s="2">
        <v>329</v>
      </c>
      <c r="B330" s="3">
        <v>44956</v>
      </c>
      <c r="C330" s="4">
        <f t="shared" si="15"/>
        <v>2023</v>
      </c>
      <c r="D330" s="4" t="s">
        <v>376</v>
      </c>
      <c r="E330" s="4" t="s">
        <v>20</v>
      </c>
      <c r="F330" s="4">
        <v>46</v>
      </c>
      <c r="G330" s="4" t="str" cm="1">
        <f t="array" ref="G330">_xlfn.IFS(F330&lt;30,"Young Adult",F330&lt;50,"Adult",F330&gt;=50,"Senior")</f>
        <v>Adult</v>
      </c>
      <c r="H330" s="4" t="s">
        <v>24</v>
      </c>
      <c r="I330" s="4">
        <v>4</v>
      </c>
      <c r="J330" s="11">
        <v>25</v>
      </c>
      <c r="K330" s="13">
        <f>I330*J330</f>
        <v>100</v>
      </c>
      <c r="L330" s="19">
        <f t="shared" si="16"/>
        <v>1.5</v>
      </c>
      <c r="M330" s="19">
        <f t="shared" si="17"/>
        <v>2</v>
      </c>
      <c r="N330" s="13" cm="1">
        <f t="array" ref="N330">_xlfn.IFS(C330=2023,K330*$P$2,C330=2024,K330*$P$3)</f>
        <v>1.5</v>
      </c>
    </row>
    <row r="331" spans="1:14">
      <c r="A331" s="2">
        <v>330</v>
      </c>
      <c r="B331" s="3">
        <v>45187</v>
      </c>
      <c r="C331" s="4">
        <f t="shared" si="15"/>
        <v>2023</v>
      </c>
      <c r="D331" s="4" t="s">
        <v>377</v>
      </c>
      <c r="E331" s="4" t="s">
        <v>20</v>
      </c>
      <c r="F331" s="4">
        <v>25</v>
      </c>
      <c r="G331" s="4" t="str" cm="1">
        <f t="array" ref="G331">_xlfn.IFS(F331&lt;30,"Young Adult",F331&lt;50,"Adult",F331&gt;=50,"Senior")</f>
        <v>Young Adult</v>
      </c>
      <c r="H331" s="4" t="s">
        <v>17</v>
      </c>
      <c r="I331" s="4">
        <v>4</v>
      </c>
      <c r="J331" s="11">
        <v>50</v>
      </c>
      <c r="K331" s="13">
        <f>I331*J331</f>
        <v>200</v>
      </c>
      <c r="L331" s="19">
        <f t="shared" si="16"/>
        <v>3</v>
      </c>
      <c r="M331" s="19">
        <f t="shared" si="17"/>
        <v>4</v>
      </c>
      <c r="N331" s="13" cm="1">
        <f t="array" ref="N331">_xlfn.IFS(C331=2023,K331*$P$2,C331=2024,K331*$P$3)</f>
        <v>3</v>
      </c>
    </row>
    <row r="332" spans="1:14">
      <c r="A332" s="2">
        <v>331</v>
      </c>
      <c r="B332" s="3">
        <v>44968</v>
      </c>
      <c r="C332" s="4">
        <f t="shared" si="15"/>
        <v>2023</v>
      </c>
      <c r="D332" s="4" t="s">
        <v>378</v>
      </c>
      <c r="E332" s="4" t="s">
        <v>16</v>
      </c>
      <c r="F332" s="4">
        <v>28</v>
      </c>
      <c r="G332" s="4" t="str" cm="1">
        <f t="array" ref="G332">_xlfn.IFS(F332&lt;30,"Young Adult",F332&lt;50,"Adult",F332&gt;=50,"Senior")</f>
        <v>Young Adult</v>
      </c>
      <c r="H332" s="4" t="s">
        <v>24</v>
      </c>
      <c r="I332" s="4">
        <v>3</v>
      </c>
      <c r="J332" s="11">
        <v>30</v>
      </c>
      <c r="K332" s="13">
        <f>I332*J332</f>
        <v>90</v>
      </c>
      <c r="L332" s="19">
        <f t="shared" si="16"/>
        <v>1.3499999999999999</v>
      </c>
      <c r="M332" s="19">
        <f t="shared" si="17"/>
        <v>1.8</v>
      </c>
      <c r="N332" s="13" cm="1">
        <f t="array" ref="N332">_xlfn.IFS(C332=2023,K332*$P$2,C332=2024,K332*$P$3)</f>
        <v>1.3499999999999999</v>
      </c>
    </row>
    <row r="333" spans="1:14">
      <c r="A333" s="2">
        <v>332</v>
      </c>
      <c r="B333" s="3">
        <v>45022</v>
      </c>
      <c r="C333" s="4">
        <f t="shared" si="15"/>
        <v>2023</v>
      </c>
      <c r="D333" s="4" t="s">
        <v>379</v>
      </c>
      <c r="E333" s="4" t="s">
        <v>16</v>
      </c>
      <c r="F333" s="4">
        <v>58</v>
      </c>
      <c r="G333" s="4" t="str" cm="1">
        <f t="array" ref="G333">_xlfn.IFS(F333&lt;30,"Young Adult",F333&lt;50,"Adult",F333&gt;=50,"Senior")</f>
        <v>Senior</v>
      </c>
      <c r="H333" s="4" t="s">
        <v>24</v>
      </c>
      <c r="I333" s="4">
        <v>4</v>
      </c>
      <c r="J333" s="11">
        <v>300</v>
      </c>
      <c r="K333" s="13">
        <f>I333*J333</f>
        <v>1200</v>
      </c>
      <c r="L333" s="19">
        <f t="shared" si="16"/>
        <v>18</v>
      </c>
      <c r="M333" s="19">
        <f t="shared" si="17"/>
        <v>24</v>
      </c>
      <c r="N333" s="13" cm="1">
        <f t="array" ref="N333">_xlfn.IFS(C333=2023,K333*$P$2,C333=2024,K333*$P$3)</f>
        <v>18</v>
      </c>
    </row>
    <row r="334" spans="1:14">
      <c r="A334" s="2">
        <v>333</v>
      </c>
      <c r="B334" s="3">
        <v>44962</v>
      </c>
      <c r="C334" s="4">
        <f t="shared" si="15"/>
        <v>2023</v>
      </c>
      <c r="D334" s="4" t="s">
        <v>380</v>
      </c>
      <c r="E334" s="4" t="s">
        <v>20</v>
      </c>
      <c r="F334" s="4">
        <v>54</v>
      </c>
      <c r="G334" s="4" t="str" cm="1">
        <f t="array" ref="G334">_xlfn.IFS(F334&lt;30,"Young Adult",F334&lt;50,"Adult",F334&gt;=50,"Senior")</f>
        <v>Senior</v>
      </c>
      <c r="H334" s="4" t="s">
        <v>24</v>
      </c>
      <c r="I334" s="4">
        <v>4</v>
      </c>
      <c r="J334" s="11">
        <v>300</v>
      </c>
      <c r="K334" s="13">
        <f>I334*J334</f>
        <v>1200</v>
      </c>
      <c r="L334" s="19">
        <f t="shared" si="16"/>
        <v>18</v>
      </c>
      <c r="M334" s="19">
        <f t="shared" si="17"/>
        <v>24</v>
      </c>
      <c r="N334" s="13" cm="1">
        <f t="array" ref="N334">_xlfn.IFS(C334=2023,K334*$P$2,C334=2024,K334*$P$3)</f>
        <v>18</v>
      </c>
    </row>
    <row r="335" spans="1:14">
      <c r="A335" s="2">
        <v>334</v>
      </c>
      <c r="B335" s="3">
        <v>45231</v>
      </c>
      <c r="C335" s="4">
        <f t="shared" si="15"/>
        <v>2023</v>
      </c>
      <c r="D335" s="4" t="s">
        <v>381</v>
      </c>
      <c r="E335" s="4" t="s">
        <v>16</v>
      </c>
      <c r="F335" s="4">
        <v>31</v>
      </c>
      <c r="G335" s="4" t="str" cm="1">
        <f t="array" ref="G335">_xlfn.IFS(F335&lt;30,"Young Adult",F335&lt;50,"Adult",F335&gt;=50,"Senior")</f>
        <v>Adult</v>
      </c>
      <c r="H335" s="4" t="s">
        <v>24</v>
      </c>
      <c r="I335" s="4">
        <v>3</v>
      </c>
      <c r="J335" s="11">
        <v>300</v>
      </c>
      <c r="K335" s="13">
        <f>I335*J335</f>
        <v>900</v>
      </c>
      <c r="L335" s="19">
        <f t="shared" si="16"/>
        <v>13.5</v>
      </c>
      <c r="M335" s="19">
        <f t="shared" si="17"/>
        <v>18</v>
      </c>
      <c r="N335" s="13" cm="1">
        <f t="array" ref="N335">_xlfn.IFS(C335=2023,K335*$P$2,C335=2024,K335*$P$3)</f>
        <v>13.5</v>
      </c>
    </row>
    <row r="336" spans="1:14">
      <c r="A336" s="2">
        <v>335</v>
      </c>
      <c r="B336" s="3">
        <v>44961</v>
      </c>
      <c r="C336" s="4">
        <f t="shared" si="15"/>
        <v>2023</v>
      </c>
      <c r="D336" s="4" t="s">
        <v>382</v>
      </c>
      <c r="E336" s="4" t="s">
        <v>20</v>
      </c>
      <c r="F336" s="4">
        <v>47</v>
      </c>
      <c r="G336" s="4" t="str" cm="1">
        <f t="array" ref="G336">_xlfn.IFS(F336&lt;30,"Young Adult",F336&lt;50,"Adult",F336&gt;=50,"Senior")</f>
        <v>Adult</v>
      </c>
      <c r="H336" s="4" t="s">
        <v>17</v>
      </c>
      <c r="I336" s="4">
        <v>4</v>
      </c>
      <c r="J336" s="11">
        <v>30</v>
      </c>
      <c r="K336" s="13">
        <f>I336*J336</f>
        <v>120</v>
      </c>
      <c r="L336" s="19">
        <f t="shared" si="16"/>
        <v>1.7999999999999998</v>
      </c>
      <c r="M336" s="19">
        <f t="shared" si="17"/>
        <v>2.4</v>
      </c>
      <c r="N336" s="13" cm="1">
        <f t="array" ref="N336">_xlfn.IFS(C336=2023,K336*$P$2,C336=2024,K336*$P$3)</f>
        <v>1.7999999999999998</v>
      </c>
    </row>
    <row r="337" spans="1:14">
      <c r="A337" s="2">
        <v>336</v>
      </c>
      <c r="B337" s="3">
        <v>45272</v>
      </c>
      <c r="C337" s="4">
        <f t="shared" si="15"/>
        <v>2023</v>
      </c>
      <c r="D337" s="4" t="s">
        <v>383</v>
      </c>
      <c r="E337" s="4" t="s">
        <v>20</v>
      </c>
      <c r="F337" s="4">
        <v>52</v>
      </c>
      <c r="G337" s="4" t="str" cm="1">
        <f t="array" ref="G337">_xlfn.IFS(F337&lt;30,"Young Adult",F337&lt;50,"Adult",F337&gt;=50,"Senior")</f>
        <v>Senior</v>
      </c>
      <c r="H337" s="4" t="s">
        <v>17</v>
      </c>
      <c r="I337" s="4">
        <v>3</v>
      </c>
      <c r="J337" s="11">
        <v>50</v>
      </c>
      <c r="K337" s="13">
        <f>I337*J337</f>
        <v>150</v>
      </c>
      <c r="L337" s="19">
        <f t="shared" si="16"/>
        <v>2.25</v>
      </c>
      <c r="M337" s="19">
        <f t="shared" si="17"/>
        <v>3</v>
      </c>
      <c r="N337" s="13" cm="1">
        <f t="array" ref="N337">_xlfn.IFS(C337=2023,K337*$P$2,C337=2024,K337*$P$3)</f>
        <v>2.25</v>
      </c>
    </row>
    <row r="338" spans="1:14">
      <c r="A338" s="2">
        <v>337</v>
      </c>
      <c r="B338" s="3">
        <v>45047</v>
      </c>
      <c r="C338" s="4">
        <f t="shared" si="15"/>
        <v>2023</v>
      </c>
      <c r="D338" s="4" t="s">
        <v>384</v>
      </c>
      <c r="E338" s="4" t="s">
        <v>16</v>
      </c>
      <c r="F338" s="4">
        <v>38</v>
      </c>
      <c r="G338" s="4" t="str" cm="1">
        <f t="array" ref="G338">_xlfn.IFS(F338&lt;30,"Young Adult",F338&lt;50,"Adult",F338&gt;=50,"Senior")</f>
        <v>Adult</v>
      </c>
      <c r="H338" s="4" t="s">
        <v>21</v>
      </c>
      <c r="I338" s="4">
        <v>1</v>
      </c>
      <c r="J338" s="11">
        <v>500</v>
      </c>
      <c r="K338" s="13">
        <f>I338*J338</f>
        <v>500</v>
      </c>
      <c r="L338" s="19">
        <f t="shared" si="16"/>
        <v>7.5</v>
      </c>
      <c r="M338" s="19">
        <f t="shared" si="17"/>
        <v>10</v>
      </c>
      <c r="N338" s="13" cm="1">
        <f t="array" ref="N338">_xlfn.IFS(C338=2023,K338*$P$2,C338=2024,K338*$P$3)</f>
        <v>7.5</v>
      </c>
    </row>
    <row r="339" spans="1:14">
      <c r="A339" s="2">
        <v>338</v>
      </c>
      <c r="B339" s="3">
        <v>45133</v>
      </c>
      <c r="C339" s="4">
        <f t="shared" si="15"/>
        <v>2023</v>
      </c>
      <c r="D339" s="4" t="s">
        <v>385</v>
      </c>
      <c r="E339" s="4" t="s">
        <v>16</v>
      </c>
      <c r="F339" s="4">
        <v>54</v>
      </c>
      <c r="G339" s="4" t="str" cm="1">
        <f t="array" ref="G339">_xlfn.IFS(F339&lt;30,"Young Adult",F339&lt;50,"Adult",F339&gt;=50,"Senior")</f>
        <v>Senior</v>
      </c>
      <c r="H339" s="4" t="s">
        <v>17</v>
      </c>
      <c r="I339" s="4">
        <v>2</v>
      </c>
      <c r="J339" s="11">
        <v>50</v>
      </c>
      <c r="K339" s="13">
        <f>I339*J339</f>
        <v>100</v>
      </c>
      <c r="L339" s="19">
        <f t="shared" si="16"/>
        <v>1.5</v>
      </c>
      <c r="M339" s="19">
        <f t="shared" si="17"/>
        <v>2</v>
      </c>
      <c r="N339" s="13" cm="1">
        <f t="array" ref="N339">_xlfn.IFS(C339=2023,K339*$P$2,C339=2024,K339*$P$3)</f>
        <v>1.5</v>
      </c>
    </row>
    <row r="340" spans="1:14">
      <c r="A340" s="2">
        <v>339</v>
      </c>
      <c r="B340" s="3">
        <v>44988</v>
      </c>
      <c r="C340" s="4">
        <f t="shared" si="15"/>
        <v>2023</v>
      </c>
      <c r="D340" s="4" t="s">
        <v>386</v>
      </c>
      <c r="E340" s="4" t="s">
        <v>20</v>
      </c>
      <c r="F340" s="4">
        <v>22</v>
      </c>
      <c r="G340" s="4" t="str" cm="1">
        <f t="array" ref="G340">_xlfn.IFS(F340&lt;30,"Young Adult",F340&lt;50,"Adult",F340&gt;=50,"Senior")</f>
        <v>Young Adult</v>
      </c>
      <c r="H340" s="4" t="s">
        <v>24</v>
      </c>
      <c r="I340" s="4">
        <v>2</v>
      </c>
      <c r="J340" s="11">
        <v>25</v>
      </c>
      <c r="K340" s="13">
        <f>I340*J340</f>
        <v>50</v>
      </c>
      <c r="L340" s="19">
        <f t="shared" si="16"/>
        <v>0.75</v>
      </c>
      <c r="M340" s="19">
        <f t="shared" si="17"/>
        <v>1</v>
      </c>
      <c r="N340" s="13" cm="1">
        <f t="array" ref="N340">_xlfn.IFS(C340=2023,K340*$P$2,C340=2024,K340*$P$3)</f>
        <v>0.75</v>
      </c>
    </row>
    <row r="341" spans="1:14">
      <c r="A341" s="2">
        <v>340</v>
      </c>
      <c r="B341" s="3">
        <v>45218</v>
      </c>
      <c r="C341" s="4">
        <f t="shared" si="15"/>
        <v>2023</v>
      </c>
      <c r="D341" s="4" t="s">
        <v>387</v>
      </c>
      <c r="E341" s="4" t="s">
        <v>20</v>
      </c>
      <c r="F341" s="4">
        <v>36</v>
      </c>
      <c r="G341" s="4" t="str" cm="1">
        <f t="array" ref="G341">_xlfn.IFS(F341&lt;30,"Young Adult",F341&lt;50,"Adult",F341&gt;=50,"Senior")</f>
        <v>Adult</v>
      </c>
      <c r="H341" s="4" t="s">
        <v>21</v>
      </c>
      <c r="I341" s="4">
        <v>4</v>
      </c>
      <c r="J341" s="11">
        <v>300</v>
      </c>
      <c r="K341" s="13">
        <f>I341*J341</f>
        <v>1200</v>
      </c>
      <c r="L341" s="19">
        <f t="shared" si="16"/>
        <v>18</v>
      </c>
      <c r="M341" s="19">
        <f t="shared" si="17"/>
        <v>24</v>
      </c>
      <c r="N341" s="13" cm="1">
        <f t="array" ref="N341">_xlfn.IFS(C341=2023,K341*$P$2,C341=2024,K341*$P$3)</f>
        <v>18</v>
      </c>
    </row>
    <row r="342" spans="1:14">
      <c r="A342" s="2">
        <v>341</v>
      </c>
      <c r="B342" s="3">
        <v>45053</v>
      </c>
      <c r="C342" s="4">
        <f t="shared" si="15"/>
        <v>2023</v>
      </c>
      <c r="D342" s="4" t="s">
        <v>388</v>
      </c>
      <c r="E342" s="4" t="s">
        <v>16</v>
      </c>
      <c r="F342" s="4">
        <v>31</v>
      </c>
      <c r="G342" s="4" t="str" cm="1">
        <f t="array" ref="G342">_xlfn.IFS(F342&lt;30,"Young Adult",F342&lt;50,"Adult",F342&gt;=50,"Senior")</f>
        <v>Adult</v>
      </c>
      <c r="H342" s="4" t="s">
        <v>21</v>
      </c>
      <c r="I342" s="4">
        <v>4</v>
      </c>
      <c r="J342" s="11">
        <v>50</v>
      </c>
      <c r="K342" s="13">
        <f>I342*J342</f>
        <v>200</v>
      </c>
      <c r="L342" s="19">
        <f t="shared" si="16"/>
        <v>3</v>
      </c>
      <c r="M342" s="19">
        <f t="shared" si="17"/>
        <v>4</v>
      </c>
      <c r="N342" s="13" cm="1">
        <f t="array" ref="N342">_xlfn.IFS(C342=2023,K342*$P$2,C342=2024,K342*$P$3)</f>
        <v>3</v>
      </c>
    </row>
    <row r="343" spans="1:14">
      <c r="A343" s="2">
        <v>342</v>
      </c>
      <c r="B343" s="3">
        <v>45223</v>
      </c>
      <c r="C343" s="4">
        <f t="shared" si="15"/>
        <v>2023</v>
      </c>
      <c r="D343" s="4" t="s">
        <v>389</v>
      </c>
      <c r="E343" s="4" t="s">
        <v>20</v>
      </c>
      <c r="F343" s="4">
        <v>43</v>
      </c>
      <c r="G343" s="4" t="str" cm="1">
        <f t="array" ref="G343">_xlfn.IFS(F343&lt;30,"Young Adult",F343&lt;50,"Adult",F343&gt;=50,"Senior")</f>
        <v>Adult</v>
      </c>
      <c r="H343" s="4" t="s">
        <v>21</v>
      </c>
      <c r="I343" s="4">
        <v>4</v>
      </c>
      <c r="J343" s="11">
        <v>500</v>
      </c>
      <c r="K343" s="13">
        <f>I343*J343</f>
        <v>2000</v>
      </c>
      <c r="L343" s="19">
        <f t="shared" si="16"/>
        <v>30</v>
      </c>
      <c r="M343" s="19">
        <f t="shared" si="17"/>
        <v>40</v>
      </c>
      <c r="N343" s="13" cm="1">
        <f t="array" ref="N343">_xlfn.IFS(C343=2023,K343*$P$2,C343=2024,K343*$P$3)</f>
        <v>30</v>
      </c>
    </row>
    <row r="344" spans="1:14">
      <c r="A344" s="2">
        <v>343</v>
      </c>
      <c r="B344" s="3">
        <v>45231</v>
      </c>
      <c r="C344" s="4">
        <f t="shared" si="15"/>
        <v>2023</v>
      </c>
      <c r="D344" s="4" t="s">
        <v>390</v>
      </c>
      <c r="E344" s="4" t="s">
        <v>16</v>
      </c>
      <c r="F344" s="4">
        <v>21</v>
      </c>
      <c r="G344" s="4" t="str" cm="1">
        <f t="array" ref="G344">_xlfn.IFS(F344&lt;30,"Young Adult",F344&lt;50,"Adult",F344&gt;=50,"Senior")</f>
        <v>Young Adult</v>
      </c>
      <c r="H344" s="4" t="s">
        <v>24</v>
      </c>
      <c r="I344" s="4">
        <v>2</v>
      </c>
      <c r="J344" s="11">
        <v>25</v>
      </c>
      <c r="K344" s="13">
        <f>I344*J344</f>
        <v>50</v>
      </c>
      <c r="L344" s="19">
        <f t="shared" si="16"/>
        <v>0.75</v>
      </c>
      <c r="M344" s="19">
        <f t="shared" si="17"/>
        <v>1</v>
      </c>
      <c r="N344" s="13" cm="1">
        <f t="array" ref="N344">_xlfn.IFS(C344=2023,K344*$P$2,C344=2024,K344*$P$3)</f>
        <v>0.75</v>
      </c>
    </row>
    <row r="345" spans="1:14">
      <c r="A345" s="2">
        <v>344</v>
      </c>
      <c r="B345" s="3">
        <v>44947</v>
      </c>
      <c r="C345" s="4">
        <f t="shared" si="15"/>
        <v>2023</v>
      </c>
      <c r="D345" s="4" t="s">
        <v>391</v>
      </c>
      <c r="E345" s="4" t="s">
        <v>20</v>
      </c>
      <c r="F345" s="4">
        <v>42</v>
      </c>
      <c r="G345" s="4" t="str" cm="1">
        <f t="array" ref="G345">_xlfn.IFS(F345&lt;30,"Young Adult",F345&lt;50,"Adult",F345&gt;=50,"Senior")</f>
        <v>Adult</v>
      </c>
      <c r="H345" s="4" t="s">
        <v>17</v>
      </c>
      <c r="I345" s="4">
        <v>1</v>
      </c>
      <c r="J345" s="11">
        <v>30</v>
      </c>
      <c r="K345" s="13">
        <f>I345*J345</f>
        <v>30</v>
      </c>
      <c r="L345" s="19">
        <f t="shared" si="16"/>
        <v>0.44999999999999996</v>
      </c>
      <c r="M345" s="19">
        <f t="shared" si="17"/>
        <v>0.6</v>
      </c>
      <c r="N345" s="13" cm="1">
        <f t="array" ref="N345">_xlfn.IFS(C345=2023,K345*$P$2,C345=2024,K345*$P$3)</f>
        <v>0.44999999999999996</v>
      </c>
    </row>
    <row r="346" spans="1:14">
      <c r="A346" s="2">
        <v>345</v>
      </c>
      <c r="B346" s="3">
        <v>45244</v>
      </c>
      <c r="C346" s="4">
        <f t="shared" si="15"/>
        <v>2023</v>
      </c>
      <c r="D346" s="4" t="s">
        <v>392</v>
      </c>
      <c r="E346" s="4" t="s">
        <v>16</v>
      </c>
      <c r="F346" s="4">
        <v>62</v>
      </c>
      <c r="G346" s="4" t="str" cm="1">
        <f t="array" ref="G346">_xlfn.IFS(F346&lt;30,"Young Adult",F346&lt;50,"Adult",F346&gt;=50,"Senior")</f>
        <v>Senior</v>
      </c>
      <c r="H346" s="4" t="s">
        <v>24</v>
      </c>
      <c r="I346" s="4">
        <v>1</v>
      </c>
      <c r="J346" s="11">
        <v>30</v>
      </c>
      <c r="K346" s="13">
        <f>I346*J346</f>
        <v>30</v>
      </c>
      <c r="L346" s="19">
        <f t="shared" si="16"/>
        <v>0.44999999999999996</v>
      </c>
      <c r="M346" s="19">
        <f t="shared" si="17"/>
        <v>0.6</v>
      </c>
      <c r="N346" s="13" cm="1">
        <f t="array" ref="N346">_xlfn.IFS(C346=2023,K346*$P$2,C346=2024,K346*$P$3)</f>
        <v>0.44999999999999996</v>
      </c>
    </row>
    <row r="347" spans="1:14">
      <c r="A347" s="2">
        <v>346</v>
      </c>
      <c r="B347" s="3">
        <v>44968</v>
      </c>
      <c r="C347" s="4">
        <f t="shared" si="15"/>
        <v>2023</v>
      </c>
      <c r="D347" s="4" t="s">
        <v>393</v>
      </c>
      <c r="E347" s="4" t="s">
        <v>16</v>
      </c>
      <c r="F347" s="4">
        <v>59</v>
      </c>
      <c r="G347" s="4" t="str" cm="1">
        <f t="array" ref="G347">_xlfn.IFS(F347&lt;30,"Young Adult",F347&lt;50,"Adult",F347&gt;=50,"Senior")</f>
        <v>Senior</v>
      </c>
      <c r="H347" s="4" t="s">
        <v>21</v>
      </c>
      <c r="I347" s="4">
        <v>2</v>
      </c>
      <c r="J347" s="11">
        <v>500</v>
      </c>
      <c r="K347" s="13">
        <f>I347*J347</f>
        <v>1000</v>
      </c>
      <c r="L347" s="19">
        <f t="shared" si="16"/>
        <v>15</v>
      </c>
      <c r="M347" s="19">
        <f t="shared" si="17"/>
        <v>20</v>
      </c>
      <c r="N347" s="13" cm="1">
        <f t="array" ref="N347">_xlfn.IFS(C347=2023,K347*$P$2,C347=2024,K347*$P$3)</f>
        <v>15</v>
      </c>
    </row>
    <row r="348" spans="1:14">
      <c r="A348" s="2">
        <v>347</v>
      </c>
      <c r="B348" s="3">
        <v>45141</v>
      </c>
      <c r="C348" s="4">
        <f t="shared" si="15"/>
        <v>2023</v>
      </c>
      <c r="D348" s="4" t="s">
        <v>394</v>
      </c>
      <c r="E348" s="4" t="s">
        <v>16</v>
      </c>
      <c r="F348" s="4">
        <v>42</v>
      </c>
      <c r="G348" s="4" t="str" cm="1">
        <f t="array" ref="G348">_xlfn.IFS(F348&lt;30,"Young Adult",F348&lt;50,"Adult",F348&gt;=50,"Senior")</f>
        <v>Adult</v>
      </c>
      <c r="H348" s="4" t="s">
        <v>24</v>
      </c>
      <c r="I348" s="4">
        <v>1</v>
      </c>
      <c r="J348" s="11">
        <v>25</v>
      </c>
      <c r="K348" s="13">
        <f>I348*J348</f>
        <v>25</v>
      </c>
      <c r="L348" s="19">
        <f t="shared" si="16"/>
        <v>0.375</v>
      </c>
      <c r="M348" s="19">
        <f t="shared" si="17"/>
        <v>0.5</v>
      </c>
      <c r="N348" s="13" cm="1">
        <f t="array" ref="N348">_xlfn.IFS(C348=2023,K348*$P$2,C348=2024,K348*$P$3)</f>
        <v>0.375</v>
      </c>
    </row>
    <row r="349" spans="1:14">
      <c r="A349" s="2">
        <v>348</v>
      </c>
      <c r="B349" s="3">
        <v>45263</v>
      </c>
      <c r="C349" s="4">
        <f t="shared" si="15"/>
        <v>2023</v>
      </c>
      <c r="D349" s="4" t="s">
        <v>395</v>
      </c>
      <c r="E349" s="4" t="s">
        <v>20</v>
      </c>
      <c r="F349" s="4">
        <v>35</v>
      </c>
      <c r="G349" s="4" t="str" cm="1">
        <f t="array" ref="G349">_xlfn.IFS(F349&lt;30,"Young Adult",F349&lt;50,"Adult",F349&gt;=50,"Senior")</f>
        <v>Adult</v>
      </c>
      <c r="H349" s="4" t="s">
        <v>24</v>
      </c>
      <c r="I349" s="4">
        <v>2</v>
      </c>
      <c r="J349" s="11">
        <v>300</v>
      </c>
      <c r="K349" s="13">
        <f>I349*J349</f>
        <v>600</v>
      </c>
      <c r="L349" s="19">
        <f t="shared" si="16"/>
        <v>9</v>
      </c>
      <c r="M349" s="19">
        <f t="shared" si="17"/>
        <v>12</v>
      </c>
      <c r="N349" s="13" cm="1">
        <f t="array" ref="N349">_xlfn.IFS(C349=2023,K349*$P$2,C349=2024,K349*$P$3)</f>
        <v>9</v>
      </c>
    </row>
    <row r="350" spans="1:14">
      <c r="A350" s="2">
        <v>349</v>
      </c>
      <c r="B350" s="3">
        <v>45225</v>
      </c>
      <c r="C350" s="4">
        <f t="shared" si="15"/>
        <v>2023</v>
      </c>
      <c r="D350" s="4" t="s">
        <v>396</v>
      </c>
      <c r="E350" s="4" t="s">
        <v>20</v>
      </c>
      <c r="F350" s="4">
        <v>57</v>
      </c>
      <c r="G350" s="4" t="str" cm="1">
        <f t="array" ref="G350">_xlfn.IFS(F350&lt;30,"Young Adult",F350&lt;50,"Adult",F350&gt;=50,"Senior")</f>
        <v>Senior</v>
      </c>
      <c r="H350" s="4" t="s">
        <v>17</v>
      </c>
      <c r="I350" s="4">
        <v>1</v>
      </c>
      <c r="J350" s="11">
        <v>50</v>
      </c>
      <c r="K350" s="13">
        <f>I350*J350</f>
        <v>50</v>
      </c>
      <c r="L350" s="19">
        <f t="shared" si="16"/>
        <v>0.75</v>
      </c>
      <c r="M350" s="19">
        <f t="shared" si="17"/>
        <v>1</v>
      </c>
      <c r="N350" s="13" cm="1">
        <f t="array" ref="N350">_xlfn.IFS(C350=2023,K350*$P$2,C350=2024,K350*$P$3)</f>
        <v>0.75</v>
      </c>
    </row>
    <row r="351" spans="1:14">
      <c r="A351" s="2">
        <v>350</v>
      </c>
      <c r="B351" s="3">
        <v>45216</v>
      </c>
      <c r="C351" s="4">
        <f t="shared" si="15"/>
        <v>2023</v>
      </c>
      <c r="D351" s="4" t="s">
        <v>397</v>
      </c>
      <c r="E351" s="4" t="s">
        <v>16</v>
      </c>
      <c r="F351" s="4">
        <v>25</v>
      </c>
      <c r="G351" s="4" t="str" cm="1">
        <f t="array" ref="G351">_xlfn.IFS(F351&lt;30,"Young Adult",F351&lt;50,"Adult",F351&gt;=50,"Senior")</f>
        <v>Young Adult</v>
      </c>
      <c r="H351" s="4" t="s">
        <v>17</v>
      </c>
      <c r="I351" s="4">
        <v>3</v>
      </c>
      <c r="J351" s="11">
        <v>25</v>
      </c>
      <c r="K351" s="13">
        <f>I351*J351</f>
        <v>75</v>
      </c>
      <c r="L351" s="19">
        <f t="shared" si="16"/>
        <v>1.125</v>
      </c>
      <c r="M351" s="19">
        <f t="shared" si="17"/>
        <v>1.5</v>
      </c>
      <c r="N351" s="13" cm="1">
        <f t="array" ref="N351">_xlfn.IFS(C351=2023,K351*$P$2,C351=2024,K351*$P$3)</f>
        <v>1.125</v>
      </c>
    </row>
    <row r="352" spans="1:14">
      <c r="A352" s="2">
        <v>351</v>
      </c>
      <c r="B352" s="3">
        <v>45194</v>
      </c>
      <c r="C352" s="4">
        <f t="shared" si="15"/>
        <v>2023</v>
      </c>
      <c r="D352" s="4" t="s">
        <v>398</v>
      </c>
      <c r="E352" s="4" t="s">
        <v>20</v>
      </c>
      <c r="F352" s="4">
        <v>56</v>
      </c>
      <c r="G352" s="4" t="str" cm="1">
        <f t="array" ref="G352">_xlfn.IFS(F352&lt;30,"Young Adult",F352&lt;50,"Adult",F352&gt;=50,"Senior")</f>
        <v>Senior</v>
      </c>
      <c r="H352" s="4" t="s">
        <v>21</v>
      </c>
      <c r="I352" s="4">
        <v>3</v>
      </c>
      <c r="J352" s="11">
        <v>30</v>
      </c>
      <c r="K352" s="13">
        <f>I352*J352</f>
        <v>90</v>
      </c>
      <c r="L352" s="19">
        <f t="shared" si="16"/>
        <v>1.3499999999999999</v>
      </c>
      <c r="M352" s="19">
        <f t="shared" si="17"/>
        <v>1.8</v>
      </c>
      <c r="N352" s="13" cm="1">
        <f t="array" ref="N352">_xlfn.IFS(C352=2023,K352*$P$2,C352=2024,K352*$P$3)</f>
        <v>1.3499999999999999</v>
      </c>
    </row>
    <row r="353" spans="1:14">
      <c r="A353" s="2">
        <v>352</v>
      </c>
      <c r="B353" s="3">
        <v>45088</v>
      </c>
      <c r="C353" s="4">
        <f t="shared" si="15"/>
        <v>2023</v>
      </c>
      <c r="D353" s="4" t="s">
        <v>399</v>
      </c>
      <c r="E353" s="4" t="s">
        <v>16</v>
      </c>
      <c r="F353" s="4">
        <v>57</v>
      </c>
      <c r="G353" s="4" t="str" cm="1">
        <f t="array" ref="G353">_xlfn.IFS(F353&lt;30,"Young Adult",F353&lt;50,"Adult",F353&gt;=50,"Senior")</f>
        <v>Senior</v>
      </c>
      <c r="H353" s="4" t="s">
        <v>24</v>
      </c>
      <c r="I353" s="4">
        <v>2</v>
      </c>
      <c r="J353" s="11">
        <v>500</v>
      </c>
      <c r="K353" s="13">
        <f>I353*J353</f>
        <v>1000</v>
      </c>
      <c r="L353" s="19">
        <f t="shared" si="16"/>
        <v>15</v>
      </c>
      <c r="M353" s="19">
        <f t="shared" si="17"/>
        <v>20</v>
      </c>
      <c r="N353" s="13" cm="1">
        <f t="array" ref="N353">_xlfn.IFS(C353=2023,K353*$P$2,C353=2024,K353*$P$3)</f>
        <v>15</v>
      </c>
    </row>
    <row r="354" spans="1:14">
      <c r="A354" s="2">
        <v>353</v>
      </c>
      <c r="B354" s="3">
        <v>45060</v>
      </c>
      <c r="C354" s="4">
        <f t="shared" si="15"/>
        <v>2023</v>
      </c>
      <c r="D354" s="4" t="s">
        <v>400</v>
      </c>
      <c r="E354" s="4" t="s">
        <v>16</v>
      </c>
      <c r="F354" s="4">
        <v>31</v>
      </c>
      <c r="G354" s="4" t="str" cm="1">
        <f t="array" ref="G354">_xlfn.IFS(F354&lt;30,"Young Adult",F354&lt;50,"Adult",F354&gt;=50,"Senior")</f>
        <v>Adult</v>
      </c>
      <c r="H354" s="4" t="s">
        <v>24</v>
      </c>
      <c r="I354" s="4">
        <v>1</v>
      </c>
      <c r="J354" s="11">
        <v>500</v>
      </c>
      <c r="K354" s="13">
        <f>I354*J354</f>
        <v>500</v>
      </c>
      <c r="L354" s="19">
        <f t="shared" si="16"/>
        <v>7.5</v>
      </c>
      <c r="M354" s="19">
        <f t="shared" si="17"/>
        <v>10</v>
      </c>
      <c r="N354" s="13" cm="1">
        <f t="array" ref="N354">_xlfn.IFS(C354=2023,K354*$P$2,C354=2024,K354*$P$3)</f>
        <v>7.5</v>
      </c>
    </row>
    <row r="355" spans="1:14">
      <c r="A355" s="2">
        <v>354</v>
      </c>
      <c r="B355" s="3">
        <v>45031</v>
      </c>
      <c r="C355" s="4">
        <f t="shared" si="15"/>
        <v>2023</v>
      </c>
      <c r="D355" s="4" t="s">
        <v>401</v>
      </c>
      <c r="E355" s="4" t="s">
        <v>20</v>
      </c>
      <c r="F355" s="4">
        <v>49</v>
      </c>
      <c r="G355" s="4" t="str" cm="1">
        <f t="array" ref="G355">_xlfn.IFS(F355&lt;30,"Young Adult",F355&lt;50,"Adult",F355&gt;=50,"Senior")</f>
        <v>Adult</v>
      </c>
      <c r="H355" s="4" t="s">
        <v>17</v>
      </c>
      <c r="I355" s="4">
        <v>4</v>
      </c>
      <c r="J355" s="11">
        <v>50</v>
      </c>
      <c r="K355" s="13">
        <f>I355*J355</f>
        <v>200</v>
      </c>
      <c r="L355" s="19">
        <f t="shared" si="16"/>
        <v>3</v>
      </c>
      <c r="M355" s="19">
        <f t="shared" si="17"/>
        <v>4</v>
      </c>
      <c r="N355" s="13" cm="1">
        <f t="array" ref="N355">_xlfn.IFS(C355=2023,K355*$P$2,C355=2024,K355*$P$3)</f>
        <v>3</v>
      </c>
    </row>
    <row r="356" spans="1:14">
      <c r="A356" s="2">
        <v>355</v>
      </c>
      <c r="B356" s="3">
        <v>45269</v>
      </c>
      <c r="C356" s="4">
        <f t="shared" si="15"/>
        <v>2023</v>
      </c>
      <c r="D356" s="4" t="s">
        <v>402</v>
      </c>
      <c r="E356" s="4" t="s">
        <v>20</v>
      </c>
      <c r="F356" s="4">
        <v>55</v>
      </c>
      <c r="G356" s="4" t="str" cm="1">
        <f t="array" ref="G356">_xlfn.IFS(F356&lt;30,"Young Adult",F356&lt;50,"Adult",F356&gt;=50,"Senior")</f>
        <v>Senior</v>
      </c>
      <c r="H356" s="4" t="s">
        <v>24</v>
      </c>
      <c r="I356" s="4">
        <v>1</v>
      </c>
      <c r="J356" s="11">
        <v>500</v>
      </c>
      <c r="K356" s="13">
        <f>I356*J356</f>
        <v>500</v>
      </c>
      <c r="L356" s="19">
        <f t="shared" si="16"/>
        <v>7.5</v>
      </c>
      <c r="M356" s="19">
        <f t="shared" si="17"/>
        <v>10</v>
      </c>
      <c r="N356" s="13" cm="1">
        <f t="array" ref="N356">_xlfn.IFS(C356=2023,K356*$P$2,C356=2024,K356*$P$3)</f>
        <v>7.5</v>
      </c>
    </row>
    <row r="357" spans="1:14">
      <c r="A357" s="2">
        <v>356</v>
      </c>
      <c r="B357" s="3">
        <v>45087</v>
      </c>
      <c r="C357" s="4">
        <f t="shared" si="15"/>
        <v>2023</v>
      </c>
      <c r="D357" s="4" t="s">
        <v>403</v>
      </c>
      <c r="E357" s="4" t="s">
        <v>16</v>
      </c>
      <c r="F357" s="4">
        <v>50</v>
      </c>
      <c r="G357" s="4" t="str" cm="1">
        <f t="array" ref="G357">_xlfn.IFS(F357&lt;30,"Young Adult",F357&lt;50,"Adult",F357&gt;=50,"Senior")</f>
        <v>Senior</v>
      </c>
      <c r="H357" s="4" t="s">
        <v>24</v>
      </c>
      <c r="I357" s="4">
        <v>3</v>
      </c>
      <c r="J357" s="11">
        <v>500</v>
      </c>
      <c r="K357" s="13">
        <f>I357*J357</f>
        <v>1500</v>
      </c>
      <c r="L357" s="19">
        <f t="shared" si="16"/>
        <v>22.5</v>
      </c>
      <c r="M357" s="19">
        <f t="shared" si="17"/>
        <v>30</v>
      </c>
      <c r="N357" s="13" cm="1">
        <f t="array" ref="N357">_xlfn.IFS(C357=2023,K357*$P$2,C357=2024,K357*$P$3)</f>
        <v>22.5</v>
      </c>
    </row>
    <row r="358" spans="1:14">
      <c r="A358" s="2">
        <v>357</v>
      </c>
      <c r="B358" s="3">
        <v>45049</v>
      </c>
      <c r="C358" s="4">
        <f t="shared" si="15"/>
        <v>2023</v>
      </c>
      <c r="D358" s="4" t="s">
        <v>404</v>
      </c>
      <c r="E358" s="4" t="s">
        <v>20</v>
      </c>
      <c r="F358" s="4">
        <v>40</v>
      </c>
      <c r="G358" s="4" t="str" cm="1">
        <f t="array" ref="G358">_xlfn.IFS(F358&lt;30,"Young Adult",F358&lt;50,"Adult",F358&gt;=50,"Senior")</f>
        <v>Adult</v>
      </c>
      <c r="H358" s="4" t="s">
        <v>24</v>
      </c>
      <c r="I358" s="4">
        <v>3</v>
      </c>
      <c r="J358" s="11">
        <v>25</v>
      </c>
      <c r="K358" s="13">
        <f>I358*J358</f>
        <v>75</v>
      </c>
      <c r="L358" s="19">
        <f t="shared" si="16"/>
        <v>1.125</v>
      </c>
      <c r="M358" s="19">
        <f t="shared" si="17"/>
        <v>1.5</v>
      </c>
      <c r="N358" s="13" cm="1">
        <f t="array" ref="N358">_xlfn.IFS(C358=2023,K358*$P$2,C358=2024,K358*$P$3)</f>
        <v>1.125</v>
      </c>
    </row>
    <row r="359" spans="1:14">
      <c r="A359" s="2">
        <v>358</v>
      </c>
      <c r="B359" s="3">
        <v>45062</v>
      </c>
      <c r="C359" s="4">
        <f t="shared" si="15"/>
        <v>2023</v>
      </c>
      <c r="D359" s="4" t="s">
        <v>405</v>
      </c>
      <c r="E359" s="4" t="s">
        <v>20</v>
      </c>
      <c r="F359" s="4">
        <v>32</v>
      </c>
      <c r="G359" s="4" t="str" cm="1">
        <f t="array" ref="G359">_xlfn.IFS(F359&lt;30,"Young Adult",F359&lt;50,"Adult",F359&gt;=50,"Senior")</f>
        <v>Adult</v>
      </c>
      <c r="H359" s="4" t="s">
        <v>17</v>
      </c>
      <c r="I359" s="4">
        <v>1</v>
      </c>
      <c r="J359" s="11">
        <v>300</v>
      </c>
      <c r="K359" s="13">
        <f>I359*J359</f>
        <v>300</v>
      </c>
      <c r="L359" s="19">
        <f t="shared" si="16"/>
        <v>4.5</v>
      </c>
      <c r="M359" s="19">
        <f t="shared" si="17"/>
        <v>6</v>
      </c>
      <c r="N359" s="13" cm="1">
        <f t="array" ref="N359">_xlfn.IFS(C359=2023,K359*$P$2,C359=2024,K359*$P$3)</f>
        <v>4.5</v>
      </c>
    </row>
    <row r="360" spans="1:14">
      <c r="A360" s="2">
        <v>359</v>
      </c>
      <c r="B360" s="3">
        <v>45129</v>
      </c>
      <c r="C360" s="4">
        <f t="shared" si="15"/>
        <v>2023</v>
      </c>
      <c r="D360" s="4" t="s">
        <v>406</v>
      </c>
      <c r="E360" s="4" t="s">
        <v>16</v>
      </c>
      <c r="F360" s="4">
        <v>50</v>
      </c>
      <c r="G360" s="4" t="str" cm="1">
        <f t="array" ref="G360">_xlfn.IFS(F360&lt;30,"Young Adult",F360&lt;50,"Adult",F360&gt;=50,"Senior")</f>
        <v>Senior</v>
      </c>
      <c r="H360" s="4" t="s">
        <v>21</v>
      </c>
      <c r="I360" s="4">
        <v>1</v>
      </c>
      <c r="J360" s="11">
        <v>50</v>
      </c>
      <c r="K360" s="13">
        <f>I360*J360</f>
        <v>50</v>
      </c>
      <c r="L360" s="19">
        <f t="shared" si="16"/>
        <v>0.75</v>
      </c>
      <c r="M360" s="19">
        <f t="shared" si="17"/>
        <v>1</v>
      </c>
      <c r="N360" s="13" cm="1">
        <f t="array" ref="N360">_xlfn.IFS(C360=2023,K360*$P$2,C360=2024,K360*$P$3)</f>
        <v>0.75</v>
      </c>
    </row>
    <row r="361" spans="1:14">
      <c r="A361" s="2">
        <v>360</v>
      </c>
      <c r="B361" s="3">
        <v>44994</v>
      </c>
      <c r="C361" s="4">
        <f t="shared" si="15"/>
        <v>2023</v>
      </c>
      <c r="D361" s="4" t="s">
        <v>407</v>
      </c>
      <c r="E361" s="4" t="s">
        <v>16</v>
      </c>
      <c r="F361" s="4">
        <v>42</v>
      </c>
      <c r="G361" s="4" t="str" cm="1">
        <f t="array" ref="G361">_xlfn.IFS(F361&lt;30,"Young Adult",F361&lt;50,"Adult",F361&gt;=50,"Senior")</f>
        <v>Adult</v>
      </c>
      <c r="H361" s="4" t="s">
        <v>21</v>
      </c>
      <c r="I361" s="4">
        <v>4</v>
      </c>
      <c r="J361" s="11">
        <v>25</v>
      </c>
      <c r="K361" s="13">
        <f>I361*J361</f>
        <v>100</v>
      </c>
      <c r="L361" s="19">
        <f t="shared" si="16"/>
        <v>1.5</v>
      </c>
      <c r="M361" s="19">
        <f t="shared" si="17"/>
        <v>2</v>
      </c>
      <c r="N361" s="13" cm="1">
        <f t="array" ref="N361">_xlfn.IFS(C361=2023,K361*$P$2,C361=2024,K361*$P$3)</f>
        <v>1.5</v>
      </c>
    </row>
    <row r="362" spans="1:14">
      <c r="A362" s="2">
        <v>361</v>
      </c>
      <c r="B362" s="3">
        <v>45270</v>
      </c>
      <c r="C362" s="4">
        <f t="shared" si="15"/>
        <v>2023</v>
      </c>
      <c r="D362" s="4" t="s">
        <v>408</v>
      </c>
      <c r="E362" s="4" t="s">
        <v>20</v>
      </c>
      <c r="F362" s="4">
        <v>34</v>
      </c>
      <c r="G362" s="4" t="str" cm="1">
        <f t="array" ref="G362">_xlfn.IFS(F362&lt;30,"Young Adult",F362&lt;50,"Adult",F362&gt;=50,"Senior")</f>
        <v>Adult</v>
      </c>
      <c r="H362" s="4" t="s">
        <v>24</v>
      </c>
      <c r="I362" s="4">
        <v>4</v>
      </c>
      <c r="J362" s="11">
        <v>300</v>
      </c>
      <c r="K362" s="13">
        <f>I362*J362</f>
        <v>1200</v>
      </c>
      <c r="L362" s="19">
        <f t="shared" si="16"/>
        <v>18</v>
      </c>
      <c r="M362" s="19">
        <f t="shared" si="17"/>
        <v>24</v>
      </c>
      <c r="N362" s="13" cm="1">
        <f t="array" ref="N362">_xlfn.IFS(C362=2023,K362*$P$2,C362=2024,K362*$P$3)</f>
        <v>18</v>
      </c>
    </row>
    <row r="363" spans="1:14">
      <c r="A363" s="2">
        <v>362</v>
      </c>
      <c r="B363" s="3">
        <v>45257</v>
      </c>
      <c r="C363" s="4">
        <f t="shared" si="15"/>
        <v>2023</v>
      </c>
      <c r="D363" s="4" t="s">
        <v>409</v>
      </c>
      <c r="E363" s="4" t="s">
        <v>16</v>
      </c>
      <c r="F363" s="4">
        <v>50</v>
      </c>
      <c r="G363" s="4" t="str" cm="1">
        <f t="array" ref="G363">_xlfn.IFS(F363&lt;30,"Young Adult",F363&lt;50,"Adult",F363&gt;=50,"Senior")</f>
        <v>Senior</v>
      </c>
      <c r="H363" s="4" t="s">
        <v>21</v>
      </c>
      <c r="I363" s="4">
        <v>1</v>
      </c>
      <c r="J363" s="11">
        <v>25</v>
      </c>
      <c r="K363" s="13">
        <f>I363*J363</f>
        <v>25</v>
      </c>
      <c r="L363" s="19">
        <f t="shared" si="16"/>
        <v>0.375</v>
      </c>
      <c r="M363" s="19">
        <f t="shared" si="17"/>
        <v>0.5</v>
      </c>
      <c r="N363" s="13" cm="1">
        <f t="array" ref="N363">_xlfn.IFS(C363=2023,K363*$P$2,C363=2024,K363*$P$3)</f>
        <v>0.375</v>
      </c>
    </row>
    <row r="364" spans="1:14">
      <c r="A364" s="2">
        <v>363</v>
      </c>
      <c r="B364" s="3">
        <v>45080</v>
      </c>
      <c r="C364" s="4">
        <f t="shared" si="15"/>
        <v>2023</v>
      </c>
      <c r="D364" s="4" t="s">
        <v>410</v>
      </c>
      <c r="E364" s="4" t="s">
        <v>16</v>
      </c>
      <c r="F364" s="4">
        <v>64</v>
      </c>
      <c r="G364" s="4" t="str" cm="1">
        <f t="array" ref="G364">_xlfn.IFS(F364&lt;30,"Young Adult",F364&lt;50,"Adult",F364&gt;=50,"Senior")</f>
        <v>Senior</v>
      </c>
      <c r="H364" s="4" t="s">
        <v>17</v>
      </c>
      <c r="I364" s="4">
        <v>1</v>
      </c>
      <c r="J364" s="11">
        <v>25</v>
      </c>
      <c r="K364" s="13">
        <f>I364*J364</f>
        <v>25</v>
      </c>
      <c r="L364" s="19">
        <f t="shared" si="16"/>
        <v>0.375</v>
      </c>
      <c r="M364" s="19">
        <f t="shared" si="17"/>
        <v>0.5</v>
      </c>
      <c r="N364" s="13" cm="1">
        <f t="array" ref="N364">_xlfn.IFS(C364=2023,K364*$P$2,C364=2024,K364*$P$3)</f>
        <v>0.375</v>
      </c>
    </row>
    <row r="365" spans="1:14">
      <c r="A365" s="2">
        <v>364</v>
      </c>
      <c r="B365" s="3">
        <v>45161</v>
      </c>
      <c r="C365" s="4">
        <f t="shared" si="15"/>
        <v>2023</v>
      </c>
      <c r="D365" s="4" t="s">
        <v>411</v>
      </c>
      <c r="E365" s="4" t="s">
        <v>20</v>
      </c>
      <c r="F365" s="4">
        <v>19</v>
      </c>
      <c r="G365" s="4" t="str" cm="1">
        <f t="array" ref="G365">_xlfn.IFS(F365&lt;30,"Young Adult",F365&lt;50,"Adult",F365&gt;=50,"Senior")</f>
        <v>Young Adult</v>
      </c>
      <c r="H365" s="4" t="s">
        <v>17</v>
      </c>
      <c r="I365" s="4">
        <v>1</v>
      </c>
      <c r="J365" s="11">
        <v>500</v>
      </c>
      <c r="K365" s="13">
        <f>I365*J365</f>
        <v>500</v>
      </c>
      <c r="L365" s="19">
        <f t="shared" si="16"/>
        <v>7.5</v>
      </c>
      <c r="M365" s="19">
        <f t="shared" si="17"/>
        <v>10</v>
      </c>
      <c r="N365" s="13" cm="1">
        <f t="array" ref="N365">_xlfn.IFS(C365=2023,K365*$P$2,C365=2024,K365*$P$3)</f>
        <v>7.5</v>
      </c>
    </row>
    <row r="366" spans="1:14">
      <c r="A366" s="2">
        <v>365</v>
      </c>
      <c r="B366" s="3">
        <v>45088</v>
      </c>
      <c r="C366" s="4">
        <f t="shared" si="15"/>
        <v>2023</v>
      </c>
      <c r="D366" s="4" t="s">
        <v>412</v>
      </c>
      <c r="E366" s="4" t="s">
        <v>16</v>
      </c>
      <c r="F366" s="4">
        <v>31</v>
      </c>
      <c r="G366" s="4" t="str" cm="1">
        <f t="array" ref="G366">_xlfn.IFS(F366&lt;30,"Young Adult",F366&lt;50,"Adult",F366&gt;=50,"Senior")</f>
        <v>Adult</v>
      </c>
      <c r="H366" s="4" t="s">
        <v>21</v>
      </c>
      <c r="I366" s="4">
        <v>1</v>
      </c>
      <c r="J366" s="11">
        <v>300</v>
      </c>
      <c r="K366" s="13">
        <f>I366*J366</f>
        <v>300</v>
      </c>
      <c r="L366" s="19">
        <f t="shared" si="16"/>
        <v>4.5</v>
      </c>
      <c r="M366" s="19">
        <f t="shared" si="17"/>
        <v>6</v>
      </c>
      <c r="N366" s="13" cm="1">
        <f t="array" ref="N366">_xlfn.IFS(C366=2023,K366*$P$2,C366=2024,K366*$P$3)</f>
        <v>4.5</v>
      </c>
    </row>
    <row r="367" spans="1:14">
      <c r="A367" s="2">
        <v>366</v>
      </c>
      <c r="B367" s="3">
        <v>44964</v>
      </c>
      <c r="C367" s="4">
        <f t="shared" si="15"/>
        <v>2023</v>
      </c>
      <c r="D367" s="4" t="s">
        <v>413</v>
      </c>
      <c r="E367" s="4" t="s">
        <v>16</v>
      </c>
      <c r="F367" s="4">
        <v>57</v>
      </c>
      <c r="G367" s="4" t="str" cm="1">
        <f t="array" ref="G367">_xlfn.IFS(F367&lt;30,"Young Adult",F367&lt;50,"Adult",F367&gt;=50,"Senior")</f>
        <v>Senior</v>
      </c>
      <c r="H367" s="4" t="s">
        <v>21</v>
      </c>
      <c r="I367" s="4">
        <v>2</v>
      </c>
      <c r="J367" s="11">
        <v>50</v>
      </c>
      <c r="K367" s="13">
        <f>I367*J367</f>
        <v>100</v>
      </c>
      <c r="L367" s="19">
        <f t="shared" si="16"/>
        <v>1.5</v>
      </c>
      <c r="M367" s="19">
        <f t="shared" si="17"/>
        <v>2</v>
      </c>
      <c r="N367" s="13" cm="1">
        <f t="array" ref="N367">_xlfn.IFS(C367=2023,K367*$P$2,C367=2024,K367*$P$3)</f>
        <v>1.5</v>
      </c>
    </row>
    <row r="368" spans="1:14">
      <c r="A368" s="2">
        <v>367</v>
      </c>
      <c r="B368" s="3">
        <v>44931</v>
      </c>
      <c r="C368" s="4">
        <f t="shared" si="15"/>
        <v>2023</v>
      </c>
      <c r="D368" s="4" t="s">
        <v>414</v>
      </c>
      <c r="E368" s="4" t="s">
        <v>20</v>
      </c>
      <c r="F368" s="4">
        <v>57</v>
      </c>
      <c r="G368" s="4" t="str" cm="1">
        <f t="array" ref="G368">_xlfn.IFS(F368&lt;30,"Young Adult",F368&lt;50,"Adult",F368&gt;=50,"Senior")</f>
        <v>Senior</v>
      </c>
      <c r="H368" s="4" t="s">
        <v>24</v>
      </c>
      <c r="I368" s="4">
        <v>1</v>
      </c>
      <c r="J368" s="11">
        <v>50</v>
      </c>
      <c r="K368" s="13">
        <f>I368*J368</f>
        <v>50</v>
      </c>
      <c r="L368" s="19">
        <f t="shared" si="16"/>
        <v>0.75</v>
      </c>
      <c r="M368" s="19">
        <f t="shared" si="17"/>
        <v>1</v>
      </c>
      <c r="N368" s="13" cm="1">
        <f t="array" ref="N368">_xlfn.IFS(C368=2023,K368*$P$2,C368=2024,K368*$P$3)</f>
        <v>0.75</v>
      </c>
    </row>
    <row r="369" spans="1:14">
      <c r="A369" s="2">
        <v>368</v>
      </c>
      <c r="B369" s="3">
        <v>45161</v>
      </c>
      <c r="C369" s="4">
        <f t="shared" si="15"/>
        <v>2023</v>
      </c>
      <c r="D369" s="4" t="s">
        <v>415</v>
      </c>
      <c r="E369" s="4" t="s">
        <v>20</v>
      </c>
      <c r="F369" s="4">
        <v>56</v>
      </c>
      <c r="G369" s="4" t="str" cm="1">
        <f t="array" ref="G369">_xlfn.IFS(F369&lt;30,"Young Adult",F369&lt;50,"Adult",F369&gt;=50,"Senior")</f>
        <v>Senior</v>
      </c>
      <c r="H369" s="4" t="s">
        <v>21</v>
      </c>
      <c r="I369" s="4">
        <v>4</v>
      </c>
      <c r="J369" s="11">
        <v>300</v>
      </c>
      <c r="K369" s="13">
        <f>I369*J369</f>
        <v>1200</v>
      </c>
      <c r="L369" s="19">
        <f t="shared" si="16"/>
        <v>18</v>
      </c>
      <c r="M369" s="19">
        <f t="shared" si="17"/>
        <v>24</v>
      </c>
      <c r="N369" s="13" cm="1">
        <f t="array" ref="N369">_xlfn.IFS(C369=2023,K369*$P$2,C369=2024,K369*$P$3)</f>
        <v>18</v>
      </c>
    </row>
    <row r="370" spans="1:14">
      <c r="A370" s="2">
        <v>369</v>
      </c>
      <c r="B370" s="3">
        <v>45245</v>
      </c>
      <c r="C370" s="4">
        <f t="shared" si="15"/>
        <v>2023</v>
      </c>
      <c r="D370" s="4" t="s">
        <v>416</v>
      </c>
      <c r="E370" s="4" t="s">
        <v>16</v>
      </c>
      <c r="F370" s="4">
        <v>23</v>
      </c>
      <c r="G370" s="4" t="str" cm="1">
        <f t="array" ref="G370">_xlfn.IFS(F370&lt;30,"Young Adult",F370&lt;50,"Adult",F370&gt;=50,"Senior")</f>
        <v>Young Adult</v>
      </c>
      <c r="H370" s="4" t="s">
        <v>24</v>
      </c>
      <c r="I370" s="4">
        <v>3</v>
      </c>
      <c r="J370" s="11">
        <v>500</v>
      </c>
      <c r="K370" s="13">
        <f>I370*J370</f>
        <v>1500</v>
      </c>
      <c r="L370" s="19">
        <f t="shared" si="16"/>
        <v>22.5</v>
      </c>
      <c r="M370" s="19">
        <f t="shared" si="17"/>
        <v>30</v>
      </c>
      <c r="N370" s="13" cm="1">
        <f t="array" ref="N370">_xlfn.IFS(C370=2023,K370*$P$2,C370=2024,K370*$P$3)</f>
        <v>22.5</v>
      </c>
    </row>
    <row r="371" spans="1:14">
      <c r="A371" s="2">
        <v>370</v>
      </c>
      <c r="B371" s="3">
        <v>45215</v>
      </c>
      <c r="C371" s="4">
        <f t="shared" si="15"/>
        <v>2023</v>
      </c>
      <c r="D371" s="4" t="s">
        <v>417</v>
      </c>
      <c r="E371" s="4" t="s">
        <v>16</v>
      </c>
      <c r="F371" s="4">
        <v>23</v>
      </c>
      <c r="G371" s="4" t="str" cm="1">
        <f t="array" ref="G371">_xlfn.IFS(F371&lt;30,"Young Adult",F371&lt;50,"Adult",F371&gt;=50,"Senior")</f>
        <v>Young Adult</v>
      </c>
      <c r="H371" s="4" t="s">
        <v>24</v>
      </c>
      <c r="I371" s="4">
        <v>2</v>
      </c>
      <c r="J371" s="11">
        <v>30</v>
      </c>
      <c r="K371" s="13">
        <f>I371*J371</f>
        <v>60</v>
      </c>
      <c r="L371" s="19">
        <f t="shared" si="16"/>
        <v>0.89999999999999991</v>
      </c>
      <c r="M371" s="19">
        <f t="shared" si="17"/>
        <v>1.2</v>
      </c>
      <c r="N371" s="13" cm="1">
        <f t="array" ref="N371">_xlfn.IFS(C371=2023,K371*$P$2,C371=2024,K371*$P$3)</f>
        <v>0.89999999999999991</v>
      </c>
    </row>
    <row r="372" spans="1:14">
      <c r="A372" s="2">
        <v>371</v>
      </c>
      <c r="B372" s="3">
        <v>44978</v>
      </c>
      <c r="C372" s="4">
        <f t="shared" si="15"/>
        <v>2023</v>
      </c>
      <c r="D372" s="4" t="s">
        <v>418</v>
      </c>
      <c r="E372" s="4" t="s">
        <v>20</v>
      </c>
      <c r="F372" s="4">
        <v>20</v>
      </c>
      <c r="G372" s="4" t="str" cm="1">
        <f t="array" ref="G372">_xlfn.IFS(F372&lt;30,"Young Adult",F372&lt;50,"Adult",F372&gt;=50,"Senior")</f>
        <v>Young Adult</v>
      </c>
      <c r="H372" s="4" t="s">
        <v>17</v>
      </c>
      <c r="I372" s="4">
        <v>1</v>
      </c>
      <c r="J372" s="11">
        <v>25</v>
      </c>
      <c r="K372" s="13">
        <f>I372*J372</f>
        <v>25</v>
      </c>
      <c r="L372" s="19">
        <f t="shared" si="16"/>
        <v>0.375</v>
      </c>
      <c r="M372" s="19">
        <f t="shared" si="17"/>
        <v>0.5</v>
      </c>
      <c r="N372" s="13" cm="1">
        <f t="array" ref="N372">_xlfn.IFS(C372=2023,K372*$P$2,C372=2024,K372*$P$3)</f>
        <v>0.375</v>
      </c>
    </row>
    <row r="373" spans="1:14">
      <c r="A373" s="2">
        <v>372</v>
      </c>
      <c r="B373" s="3">
        <v>44964</v>
      </c>
      <c r="C373" s="4">
        <f t="shared" si="15"/>
        <v>2023</v>
      </c>
      <c r="D373" s="4" t="s">
        <v>419</v>
      </c>
      <c r="E373" s="4" t="s">
        <v>20</v>
      </c>
      <c r="F373" s="4">
        <v>24</v>
      </c>
      <c r="G373" s="4" t="str" cm="1">
        <f t="array" ref="G373">_xlfn.IFS(F373&lt;30,"Young Adult",F373&lt;50,"Adult",F373&gt;=50,"Senior")</f>
        <v>Young Adult</v>
      </c>
      <c r="H373" s="4" t="s">
        <v>17</v>
      </c>
      <c r="I373" s="4">
        <v>3</v>
      </c>
      <c r="J373" s="11">
        <v>500</v>
      </c>
      <c r="K373" s="13">
        <f>I373*J373</f>
        <v>1500</v>
      </c>
      <c r="L373" s="19">
        <f t="shared" si="16"/>
        <v>22.5</v>
      </c>
      <c r="M373" s="19">
        <f t="shared" si="17"/>
        <v>30</v>
      </c>
      <c r="N373" s="13" cm="1">
        <f t="array" ref="N373">_xlfn.IFS(C373=2023,K373*$P$2,C373=2024,K373*$P$3)</f>
        <v>22.5</v>
      </c>
    </row>
    <row r="374" spans="1:14">
      <c r="A374" s="2">
        <v>373</v>
      </c>
      <c r="B374" s="3">
        <v>45202</v>
      </c>
      <c r="C374" s="4">
        <f t="shared" si="15"/>
        <v>2023</v>
      </c>
      <c r="D374" s="4" t="s">
        <v>420</v>
      </c>
      <c r="E374" s="4" t="s">
        <v>20</v>
      </c>
      <c r="F374" s="4">
        <v>25</v>
      </c>
      <c r="G374" s="4" t="str" cm="1">
        <f t="array" ref="G374">_xlfn.IFS(F374&lt;30,"Young Adult",F374&lt;50,"Adult",F374&gt;=50,"Senior")</f>
        <v>Young Adult</v>
      </c>
      <c r="H374" s="4" t="s">
        <v>17</v>
      </c>
      <c r="I374" s="4">
        <v>2</v>
      </c>
      <c r="J374" s="11">
        <v>300</v>
      </c>
      <c r="K374" s="13">
        <f>I374*J374</f>
        <v>600</v>
      </c>
      <c r="L374" s="19">
        <f t="shared" si="16"/>
        <v>9</v>
      </c>
      <c r="M374" s="19">
        <f t="shared" si="17"/>
        <v>12</v>
      </c>
      <c r="N374" s="13" cm="1">
        <f t="array" ref="N374">_xlfn.IFS(C374=2023,K374*$P$2,C374=2024,K374*$P$3)</f>
        <v>9</v>
      </c>
    </row>
    <row r="375" spans="1:14">
      <c r="A375" s="2">
        <v>374</v>
      </c>
      <c r="B375" s="3">
        <v>45036</v>
      </c>
      <c r="C375" s="4">
        <f t="shared" si="15"/>
        <v>2023</v>
      </c>
      <c r="D375" s="4" t="s">
        <v>421</v>
      </c>
      <c r="E375" s="4" t="s">
        <v>20</v>
      </c>
      <c r="F375" s="4">
        <v>59</v>
      </c>
      <c r="G375" s="4" t="str" cm="1">
        <f t="array" ref="G375">_xlfn.IFS(F375&lt;30,"Young Adult",F375&lt;50,"Adult",F375&gt;=50,"Senior")</f>
        <v>Senior</v>
      </c>
      <c r="H375" s="4" t="s">
        <v>17</v>
      </c>
      <c r="I375" s="4">
        <v>3</v>
      </c>
      <c r="J375" s="11">
        <v>25</v>
      </c>
      <c r="K375" s="13">
        <f>I375*J375</f>
        <v>75</v>
      </c>
      <c r="L375" s="19">
        <f t="shared" si="16"/>
        <v>1.125</v>
      </c>
      <c r="M375" s="19">
        <f t="shared" si="17"/>
        <v>1.5</v>
      </c>
      <c r="N375" s="13" cm="1">
        <f t="array" ref="N375">_xlfn.IFS(C375=2023,K375*$P$2,C375=2024,K375*$P$3)</f>
        <v>1.125</v>
      </c>
    </row>
    <row r="376" spans="1:14">
      <c r="A376" s="2">
        <v>375</v>
      </c>
      <c r="B376" s="3">
        <v>45186</v>
      </c>
      <c r="C376" s="4">
        <f t="shared" si="15"/>
        <v>2023</v>
      </c>
      <c r="D376" s="4" t="s">
        <v>422</v>
      </c>
      <c r="E376" s="4" t="s">
        <v>16</v>
      </c>
      <c r="F376" s="4">
        <v>32</v>
      </c>
      <c r="G376" s="4" t="str" cm="1">
        <f t="array" ref="G376">_xlfn.IFS(F376&lt;30,"Young Adult",F376&lt;50,"Adult",F376&gt;=50,"Senior")</f>
        <v>Adult</v>
      </c>
      <c r="H376" s="4" t="s">
        <v>21</v>
      </c>
      <c r="I376" s="4">
        <v>1</v>
      </c>
      <c r="J376" s="11">
        <v>50</v>
      </c>
      <c r="K376" s="13">
        <f>I376*J376</f>
        <v>50</v>
      </c>
      <c r="L376" s="19">
        <f t="shared" si="16"/>
        <v>0.75</v>
      </c>
      <c r="M376" s="19">
        <f t="shared" si="17"/>
        <v>1</v>
      </c>
      <c r="N376" s="13" cm="1">
        <f t="array" ref="N376">_xlfn.IFS(C376=2023,K376*$P$2,C376=2024,K376*$P$3)</f>
        <v>0.75</v>
      </c>
    </row>
    <row r="377" spans="1:14">
      <c r="A377" s="2">
        <v>376</v>
      </c>
      <c r="B377" s="3">
        <v>45062</v>
      </c>
      <c r="C377" s="4">
        <f t="shared" si="15"/>
        <v>2023</v>
      </c>
      <c r="D377" s="4" t="s">
        <v>423</v>
      </c>
      <c r="E377" s="4" t="s">
        <v>20</v>
      </c>
      <c r="F377" s="4">
        <v>64</v>
      </c>
      <c r="G377" s="4" t="str" cm="1">
        <f t="array" ref="G377">_xlfn.IFS(F377&lt;30,"Young Adult",F377&lt;50,"Adult",F377&gt;=50,"Senior")</f>
        <v>Senior</v>
      </c>
      <c r="H377" s="4" t="s">
        <v>17</v>
      </c>
      <c r="I377" s="4">
        <v>1</v>
      </c>
      <c r="J377" s="11">
        <v>30</v>
      </c>
      <c r="K377" s="13">
        <f>I377*J377</f>
        <v>30</v>
      </c>
      <c r="L377" s="19">
        <f t="shared" si="16"/>
        <v>0.44999999999999996</v>
      </c>
      <c r="M377" s="19">
        <f t="shared" si="17"/>
        <v>0.6</v>
      </c>
      <c r="N377" s="13" cm="1">
        <f t="array" ref="N377">_xlfn.IFS(C377=2023,K377*$P$2,C377=2024,K377*$P$3)</f>
        <v>0.44999999999999996</v>
      </c>
    </row>
    <row r="378" spans="1:14">
      <c r="A378" s="2">
        <v>377</v>
      </c>
      <c r="B378" s="3">
        <v>44994</v>
      </c>
      <c r="C378" s="4">
        <f t="shared" si="15"/>
        <v>2023</v>
      </c>
      <c r="D378" s="4" t="s">
        <v>424</v>
      </c>
      <c r="E378" s="4" t="s">
        <v>20</v>
      </c>
      <c r="F378" s="4">
        <v>46</v>
      </c>
      <c r="G378" s="4" t="str" cm="1">
        <f t="array" ref="G378">_xlfn.IFS(F378&lt;30,"Young Adult",F378&lt;50,"Adult",F378&gt;=50,"Senior")</f>
        <v>Adult</v>
      </c>
      <c r="H378" s="4" t="s">
        <v>21</v>
      </c>
      <c r="I378" s="4">
        <v>4</v>
      </c>
      <c r="J378" s="11">
        <v>50</v>
      </c>
      <c r="K378" s="13">
        <f>I378*J378</f>
        <v>200</v>
      </c>
      <c r="L378" s="19">
        <f t="shared" si="16"/>
        <v>3</v>
      </c>
      <c r="M378" s="19">
        <f t="shared" si="17"/>
        <v>4</v>
      </c>
      <c r="N378" s="13" cm="1">
        <f t="array" ref="N378">_xlfn.IFS(C378=2023,K378*$P$2,C378=2024,K378*$P$3)</f>
        <v>3</v>
      </c>
    </row>
    <row r="379" spans="1:14">
      <c r="A379" s="2">
        <v>378</v>
      </c>
      <c r="B379" s="3">
        <v>45105</v>
      </c>
      <c r="C379" s="4">
        <f t="shared" si="15"/>
        <v>2023</v>
      </c>
      <c r="D379" s="4" t="s">
        <v>425</v>
      </c>
      <c r="E379" s="4" t="s">
        <v>16</v>
      </c>
      <c r="F379" s="4">
        <v>50</v>
      </c>
      <c r="G379" s="4" t="str" cm="1">
        <f t="array" ref="G379">_xlfn.IFS(F379&lt;30,"Young Adult",F379&lt;50,"Adult",F379&gt;=50,"Senior")</f>
        <v>Senior</v>
      </c>
      <c r="H379" s="4" t="s">
        <v>17</v>
      </c>
      <c r="I379" s="4">
        <v>1</v>
      </c>
      <c r="J379" s="11">
        <v>300</v>
      </c>
      <c r="K379" s="13">
        <f>I379*J379</f>
        <v>300</v>
      </c>
      <c r="L379" s="19">
        <f t="shared" si="16"/>
        <v>4.5</v>
      </c>
      <c r="M379" s="19">
        <f t="shared" si="17"/>
        <v>6</v>
      </c>
      <c r="N379" s="13" cm="1">
        <f t="array" ref="N379">_xlfn.IFS(C379=2023,K379*$P$2,C379=2024,K379*$P$3)</f>
        <v>4.5</v>
      </c>
    </row>
    <row r="380" spans="1:14">
      <c r="A380" s="2">
        <v>379</v>
      </c>
      <c r="B380" s="3">
        <v>44962</v>
      </c>
      <c r="C380" s="4">
        <f t="shared" si="15"/>
        <v>2023</v>
      </c>
      <c r="D380" s="4" t="s">
        <v>426</v>
      </c>
      <c r="E380" s="4" t="s">
        <v>20</v>
      </c>
      <c r="F380" s="4">
        <v>47</v>
      </c>
      <c r="G380" s="4" t="str" cm="1">
        <f t="array" ref="G380">_xlfn.IFS(F380&lt;30,"Young Adult",F380&lt;50,"Adult",F380&gt;=50,"Senior")</f>
        <v>Adult</v>
      </c>
      <c r="H380" s="4" t="s">
        <v>21</v>
      </c>
      <c r="I380" s="4">
        <v>1</v>
      </c>
      <c r="J380" s="11">
        <v>25</v>
      </c>
      <c r="K380" s="13">
        <f>I380*J380</f>
        <v>25</v>
      </c>
      <c r="L380" s="19">
        <f t="shared" si="16"/>
        <v>0.375</v>
      </c>
      <c r="M380" s="19">
        <f t="shared" si="17"/>
        <v>0.5</v>
      </c>
      <c r="N380" s="13" cm="1">
        <f t="array" ref="N380">_xlfn.IFS(C380=2023,K380*$P$2,C380=2024,K380*$P$3)</f>
        <v>0.375</v>
      </c>
    </row>
    <row r="381" spans="1:14">
      <c r="A381" s="2">
        <v>380</v>
      </c>
      <c r="B381" s="3">
        <v>45052</v>
      </c>
      <c r="C381" s="4">
        <f t="shared" si="15"/>
        <v>2023</v>
      </c>
      <c r="D381" s="4" t="s">
        <v>427</v>
      </c>
      <c r="E381" s="4" t="s">
        <v>16</v>
      </c>
      <c r="F381" s="4">
        <v>56</v>
      </c>
      <c r="G381" s="4" t="str" cm="1">
        <f t="array" ref="G381">_xlfn.IFS(F381&lt;30,"Young Adult",F381&lt;50,"Adult",F381&gt;=50,"Senior")</f>
        <v>Senior</v>
      </c>
      <c r="H381" s="4" t="s">
        <v>24</v>
      </c>
      <c r="I381" s="4">
        <v>2</v>
      </c>
      <c r="J381" s="11">
        <v>300</v>
      </c>
      <c r="K381" s="13">
        <f>I381*J381</f>
        <v>600</v>
      </c>
      <c r="L381" s="19">
        <f t="shared" si="16"/>
        <v>9</v>
      </c>
      <c r="M381" s="19">
        <f t="shared" si="17"/>
        <v>12</v>
      </c>
      <c r="N381" s="13" cm="1">
        <f t="array" ref="N381">_xlfn.IFS(C381=2023,K381*$P$2,C381=2024,K381*$P$3)</f>
        <v>9</v>
      </c>
    </row>
    <row r="382" spans="1:14">
      <c r="A382" s="2">
        <v>381</v>
      </c>
      <c r="B382" s="3">
        <v>45116</v>
      </c>
      <c r="C382" s="4">
        <f t="shared" si="15"/>
        <v>2023</v>
      </c>
      <c r="D382" s="4" t="s">
        <v>428</v>
      </c>
      <c r="E382" s="4" t="s">
        <v>20</v>
      </c>
      <c r="F382" s="4">
        <v>44</v>
      </c>
      <c r="G382" s="4" t="str" cm="1">
        <f t="array" ref="G382">_xlfn.IFS(F382&lt;30,"Young Adult",F382&lt;50,"Adult",F382&gt;=50,"Senior")</f>
        <v>Adult</v>
      </c>
      <c r="H382" s="4" t="s">
        <v>21</v>
      </c>
      <c r="I382" s="4">
        <v>4</v>
      </c>
      <c r="J382" s="11">
        <v>25</v>
      </c>
      <c r="K382" s="13">
        <f>I382*J382</f>
        <v>100</v>
      </c>
      <c r="L382" s="19">
        <f t="shared" si="16"/>
        <v>1.5</v>
      </c>
      <c r="M382" s="19">
        <f t="shared" si="17"/>
        <v>2</v>
      </c>
      <c r="N382" s="13" cm="1">
        <f t="array" ref="N382">_xlfn.IFS(C382=2023,K382*$P$2,C382=2024,K382*$P$3)</f>
        <v>1.5</v>
      </c>
    </row>
    <row r="383" spans="1:14">
      <c r="A383" s="2">
        <v>382</v>
      </c>
      <c r="B383" s="3">
        <v>45072</v>
      </c>
      <c r="C383" s="4">
        <f t="shared" si="15"/>
        <v>2023</v>
      </c>
      <c r="D383" s="4" t="s">
        <v>429</v>
      </c>
      <c r="E383" s="4" t="s">
        <v>20</v>
      </c>
      <c r="F383" s="4">
        <v>53</v>
      </c>
      <c r="G383" s="4" t="str" cm="1">
        <f t="array" ref="G383">_xlfn.IFS(F383&lt;30,"Young Adult",F383&lt;50,"Adult",F383&gt;=50,"Senior")</f>
        <v>Senior</v>
      </c>
      <c r="H383" s="4" t="s">
        <v>21</v>
      </c>
      <c r="I383" s="4">
        <v>2</v>
      </c>
      <c r="J383" s="11">
        <v>500</v>
      </c>
      <c r="K383" s="13">
        <f>I383*J383</f>
        <v>1000</v>
      </c>
      <c r="L383" s="19">
        <f t="shared" si="16"/>
        <v>15</v>
      </c>
      <c r="M383" s="19">
        <f t="shared" si="17"/>
        <v>20</v>
      </c>
      <c r="N383" s="13" cm="1">
        <f t="array" ref="N383">_xlfn.IFS(C383=2023,K383*$P$2,C383=2024,K383*$P$3)</f>
        <v>15</v>
      </c>
    </row>
    <row r="384" spans="1:14">
      <c r="A384" s="2">
        <v>383</v>
      </c>
      <c r="B384" s="3">
        <v>45007</v>
      </c>
      <c r="C384" s="4">
        <f t="shared" si="15"/>
        <v>2023</v>
      </c>
      <c r="D384" s="4" t="s">
        <v>430</v>
      </c>
      <c r="E384" s="4" t="s">
        <v>20</v>
      </c>
      <c r="F384" s="4">
        <v>46</v>
      </c>
      <c r="G384" s="4" t="str" cm="1">
        <f t="array" ref="G384">_xlfn.IFS(F384&lt;30,"Young Adult",F384&lt;50,"Adult",F384&gt;=50,"Senior")</f>
        <v>Adult</v>
      </c>
      <c r="H384" s="4" t="s">
        <v>17</v>
      </c>
      <c r="I384" s="4">
        <v>3</v>
      </c>
      <c r="J384" s="11">
        <v>30</v>
      </c>
      <c r="K384" s="13">
        <f>I384*J384</f>
        <v>90</v>
      </c>
      <c r="L384" s="19">
        <f t="shared" si="16"/>
        <v>1.3499999999999999</v>
      </c>
      <c r="M384" s="19">
        <f t="shared" si="17"/>
        <v>1.8</v>
      </c>
      <c r="N384" s="13" cm="1">
        <f t="array" ref="N384">_xlfn.IFS(C384=2023,K384*$P$2,C384=2024,K384*$P$3)</f>
        <v>1.3499999999999999</v>
      </c>
    </row>
    <row r="385" spans="1:14">
      <c r="A385" s="2">
        <v>384</v>
      </c>
      <c r="B385" s="3">
        <v>45151</v>
      </c>
      <c r="C385" s="4">
        <f t="shared" si="15"/>
        <v>2023</v>
      </c>
      <c r="D385" s="4" t="s">
        <v>431</v>
      </c>
      <c r="E385" s="4" t="s">
        <v>16</v>
      </c>
      <c r="F385" s="4">
        <v>55</v>
      </c>
      <c r="G385" s="4" t="str" cm="1">
        <f t="array" ref="G385">_xlfn.IFS(F385&lt;30,"Young Adult",F385&lt;50,"Adult",F385&gt;=50,"Senior")</f>
        <v>Senior</v>
      </c>
      <c r="H385" s="4" t="s">
        <v>21</v>
      </c>
      <c r="I385" s="4">
        <v>1</v>
      </c>
      <c r="J385" s="11">
        <v>500</v>
      </c>
      <c r="K385" s="13">
        <f>I385*J385</f>
        <v>500</v>
      </c>
      <c r="L385" s="19">
        <f t="shared" si="16"/>
        <v>7.5</v>
      </c>
      <c r="M385" s="19">
        <f t="shared" si="17"/>
        <v>10</v>
      </c>
      <c r="N385" s="13" cm="1">
        <f t="array" ref="N385">_xlfn.IFS(C385=2023,K385*$P$2,C385=2024,K385*$P$3)</f>
        <v>7.5</v>
      </c>
    </row>
    <row r="386" spans="1:14">
      <c r="A386" s="2">
        <v>385</v>
      </c>
      <c r="B386" s="3">
        <v>45205</v>
      </c>
      <c r="C386" s="4">
        <f t="shared" si="15"/>
        <v>2023</v>
      </c>
      <c r="D386" s="4" t="s">
        <v>432</v>
      </c>
      <c r="E386" s="4" t="s">
        <v>16</v>
      </c>
      <c r="F386" s="4">
        <v>50</v>
      </c>
      <c r="G386" s="4" t="str" cm="1">
        <f t="array" ref="G386">_xlfn.IFS(F386&lt;30,"Young Adult",F386&lt;50,"Adult",F386&gt;=50,"Senior")</f>
        <v>Senior</v>
      </c>
      <c r="H386" s="4" t="s">
        <v>24</v>
      </c>
      <c r="I386" s="4">
        <v>3</v>
      </c>
      <c r="J386" s="11">
        <v>500</v>
      </c>
      <c r="K386" s="13">
        <f>I386*J386</f>
        <v>1500</v>
      </c>
      <c r="L386" s="19">
        <f t="shared" si="16"/>
        <v>22.5</v>
      </c>
      <c r="M386" s="19">
        <f t="shared" si="17"/>
        <v>30</v>
      </c>
      <c r="N386" s="13" cm="1">
        <f t="array" ref="N386">_xlfn.IFS(C386=2023,K386*$P$2,C386=2024,K386*$P$3)</f>
        <v>22.5</v>
      </c>
    </row>
    <row r="387" spans="1:14">
      <c r="A387" s="2">
        <v>386</v>
      </c>
      <c r="B387" s="3">
        <v>45287</v>
      </c>
      <c r="C387" s="4">
        <f t="shared" ref="C387:C450" si="18">YEAR(B387)</f>
        <v>2023</v>
      </c>
      <c r="D387" s="4" t="s">
        <v>433</v>
      </c>
      <c r="E387" s="4" t="s">
        <v>20</v>
      </c>
      <c r="F387" s="4">
        <v>54</v>
      </c>
      <c r="G387" s="4" t="str" cm="1">
        <f t="array" ref="G387">_xlfn.IFS(F387&lt;30,"Young Adult",F387&lt;50,"Adult",F387&gt;=50,"Senior")</f>
        <v>Senior</v>
      </c>
      <c r="H387" s="4" t="s">
        <v>24</v>
      </c>
      <c r="I387" s="4">
        <v>2</v>
      </c>
      <c r="J387" s="11">
        <v>300</v>
      </c>
      <c r="K387" s="13">
        <f>I387*J387</f>
        <v>600</v>
      </c>
      <c r="L387" s="19">
        <f t="shared" ref="L387:L450" si="19">K387*$P$2</f>
        <v>9</v>
      </c>
      <c r="M387" s="19">
        <f t="shared" ref="M387:M450" si="20">K387*$P$3</f>
        <v>12</v>
      </c>
      <c r="N387" s="13" cm="1">
        <f t="array" ref="N387">_xlfn.IFS(C387=2023,K387*$P$2,C387=2024,K387*$P$3)</f>
        <v>9</v>
      </c>
    </row>
    <row r="388" spans="1:14">
      <c r="A388" s="2">
        <v>387</v>
      </c>
      <c r="B388" s="3">
        <v>45081</v>
      </c>
      <c r="C388" s="4">
        <f t="shared" si="18"/>
        <v>2023</v>
      </c>
      <c r="D388" s="4" t="s">
        <v>434</v>
      </c>
      <c r="E388" s="4" t="s">
        <v>16</v>
      </c>
      <c r="F388" s="4">
        <v>44</v>
      </c>
      <c r="G388" s="4" t="str" cm="1">
        <f t="array" ref="G388">_xlfn.IFS(F388&lt;30,"Young Adult",F388&lt;50,"Adult",F388&gt;=50,"Senior")</f>
        <v>Adult</v>
      </c>
      <c r="H388" s="4" t="s">
        <v>17</v>
      </c>
      <c r="I388" s="4">
        <v>1</v>
      </c>
      <c r="J388" s="11">
        <v>30</v>
      </c>
      <c r="K388" s="13">
        <f>I388*J388</f>
        <v>30</v>
      </c>
      <c r="L388" s="19">
        <f t="shared" si="19"/>
        <v>0.44999999999999996</v>
      </c>
      <c r="M388" s="19">
        <f t="shared" si="20"/>
        <v>0.6</v>
      </c>
      <c r="N388" s="13" cm="1">
        <f t="array" ref="N388">_xlfn.IFS(C388=2023,K388*$P$2,C388=2024,K388*$P$3)</f>
        <v>0.44999999999999996</v>
      </c>
    </row>
    <row r="389" spans="1:14">
      <c r="A389" s="2">
        <v>388</v>
      </c>
      <c r="B389" s="3">
        <v>45240</v>
      </c>
      <c r="C389" s="4">
        <f t="shared" si="18"/>
        <v>2023</v>
      </c>
      <c r="D389" s="4" t="s">
        <v>435</v>
      </c>
      <c r="E389" s="4" t="s">
        <v>16</v>
      </c>
      <c r="F389" s="4">
        <v>50</v>
      </c>
      <c r="G389" s="4" t="str" cm="1">
        <f t="array" ref="G389">_xlfn.IFS(F389&lt;30,"Young Adult",F389&lt;50,"Adult",F389&gt;=50,"Senior")</f>
        <v>Senior</v>
      </c>
      <c r="H389" s="4" t="s">
        <v>24</v>
      </c>
      <c r="I389" s="4">
        <v>1</v>
      </c>
      <c r="J389" s="11">
        <v>25</v>
      </c>
      <c r="K389" s="13">
        <f>I389*J389</f>
        <v>25</v>
      </c>
      <c r="L389" s="19">
        <f t="shared" si="19"/>
        <v>0.375</v>
      </c>
      <c r="M389" s="19">
        <f t="shared" si="20"/>
        <v>0.5</v>
      </c>
      <c r="N389" s="13" cm="1">
        <f t="array" ref="N389">_xlfn.IFS(C389=2023,K389*$P$2,C389=2024,K389*$P$3)</f>
        <v>0.375</v>
      </c>
    </row>
    <row r="390" spans="1:14">
      <c r="A390" s="2">
        <v>389</v>
      </c>
      <c r="B390" s="3">
        <v>45261</v>
      </c>
      <c r="C390" s="4">
        <f t="shared" si="18"/>
        <v>2023</v>
      </c>
      <c r="D390" s="4" t="s">
        <v>436</v>
      </c>
      <c r="E390" s="4" t="s">
        <v>16</v>
      </c>
      <c r="F390" s="4">
        <v>21</v>
      </c>
      <c r="G390" s="4" t="str" cm="1">
        <f t="array" ref="G390">_xlfn.IFS(F390&lt;30,"Young Adult",F390&lt;50,"Adult",F390&gt;=50,"Senior")</f>
        <v>Young Adult</v>
      </c>
      <c r="H390" s="4" t="s">
        <v>21</v>
      </c>
      <c r="I390" s="4">
        <v>2</v>
      </c>
      <c r="J390" s="11">
        <v>25</v>
      </c>
      <c r="K390" s="13">
        <f>I390*J390</f>
        <v>50</v>
      </c>
      <c r="L390" s="19">
        <f t="shared" si="19"/>
        <v>0.75</v>
      </c>
      <c r="M390" s="19">
        <f t="shared" si="20"/>
        <v>1</v>
      </c>
      <c r="N390" s="13" cm="1">
        <f t="array" ref="N390">_xlfn.IFS(C390=2023,K390*$P$2,C390=2024,K390*$P$3)</f>
        <v>0.75</v>
      </c>
    </row>
    <row r="391" spans="1:14">
      <c r="A391" s="2">
        <v>390</v>
      </c>
      <c r="B391" s="3">
        <v>45197</v>
      </c>
      <c r="C391" s="4">
        <f t="shared" si="18"/>
        <v>2023</v>
      </c>
      <c r="D391" s="4" t="s">
        <v>437</v>
      </c>
      <c r="E391" s="4" t="s">
        <v>16</v>
      </c>
      <c r="F391" s="4">
        <v>39</v>
      </c>
      <c r="G391" s="4" t="str" cm="1">
        <f t="array" ref="G391">_xlfn.IFS(F391&lt;30,"Young Adult",F391&lt;50,"Adult",F391&gt;=50,"Senior")</f>
        <v>Adult</v>
      </c>
      <c r="H391" s="4" t="s">
        <v>24</v>
      </c>
      <c r="I391" s="4">
        <v>2</v>
      </c>
      <c r="J391" s="11">
        <v>50</v>
      </c>
      <c r="K391" s="13">
        <f>I391*J391</f>
        <v>100</v>
      </c>
      <c r="L391" s="19">
        <f t="shared" si="19"/>
        <v>1.5</v>
      </c>
      <c r="M391" s="19">
        <f t="shared" si="20"/>
        <v>2</v>
      </c>
      <c r="N391" s="13" cm="1">
        <f t="array" ref="N391">_xlfn.IFS(C391=2023,K391*$P$2,C391=2024,K391*$P$3)</f>
        <v>1.5</v>
      </c>
    </row>
    <row r="392" spans="1:14">
      <c r="A392" s="2">
        <v>391</v>
      </c>
      <c r="B392" s="3">
        <v>44931</v>
      </c>
      <c r="C392" s="4">
        <f t="shared" si="18"/>
        <v>2023</v>
      </c>
      <c r="D392" s="4" t="s">
        <v>438</v>
      </c>
      <c r="E392" s="4" t="s">
        <v>16</v>
      </c>
      <c r="F392" s="4">
        <v>19</v>
      </c>
      <c r="G392" s="4" t="str" cm="1">
        <f t="array" ref="G392">_xlfn.IFS(F392&lt;30,"Young Adult",F392&lt;50,"Adult",F392&gt;=50,"Senior")</f>
        <v>Young Adult</v>
      </c>
      <c r="H392" s="4" t="s">
        <v>17</v>
      </c>
      <c r="I392" s="4">
        <v>2</v>
      </c>
      <c r="J392" s="11">
        <v>25</v>
      </c>
      <c r="K392" s="13">
        <f>I392*J392</f>
        <v>50</v>
      </c>
      <c r="L392" s="19">
        <f t="shared" si="19"/>
        <v>0.75</v>
      </c>
      <c r="M392" s="19">
        <f t="shared" si="20"/>
        <v>1</v>
      </c>
      <c r="N392" s="13" cm="1">
        <f t="array" ref="N392">_xlfn.IFS(C392=2023,K392*$P$2,C392=2024,K392*$P$3)</f>
        <v>0.75</v>
      </c>
    </row>
    <row r="393" spans="1:14">
      <c r="A393" s="2">
        <v>392</v>
      </c>
      <c r="B393" s="3">
        <v>45268</v>
      </c>
      <c r="C393" s="4">
        <f t="shared" si="18"/>
        <v>2023</v>
      </c>
      <c r="D393" s="4" t="s">
        <v>439</v>
      </c>
      <c r="E393" s="4" t="s">
        <v>16</v>
      </c>
      <c r="F393" s="4">
        <v>27</v>
      </c>
      <c r="G393" s="4" t="str" cm="1">
        <f t="array" ref="G393">_xlfn.IFS(F393&lt;30,"Young Adult",F393&lt;50,"Adult",F393&gt;=50,"Senior")</f>
        <v>Young Adult</v>
      </c>
      <c r="H393" s="4" t="s">
        <v>21</v>
      </c>
      <c r="I393" s="4">
        <v>2</v>
      </c>
      <c r="J393" s="11">
        <v>300</v>
      </c>
      <c r="K393" s="13">
        <f>I393*J393</f>
        <v>600</v>
      </c>
      <c r="L393" s="19">
        <f t="shared" si="19"/>
        <v>9</v>
      </c>
      <c r="M393" s="19">
        <f t="shared" si="20"/>
        <v>12</v>
      </c>
      <c r="N393" s="13" cm="1">
        <f t="array" ref="N393">_xlfn.IFS(C393=2023,K393*$P$2,C393=2024,K393*$P$3)</f>
        <v>9</v>
      </c>
    </row>
    <row r="394" spans="1:14">
      <c r="A394" s="2">
        <v>393</v>
      </c>
      <c r="B394" s="3">
        <v>45210</v>
      </c>
      <c r="C394" s="4">
        <f t="shared" si="18"/>
        <v>2023</v>
      </c>
      <c r="D394" s="4" t="s">
        <v>440</v>
      </c>
      <c r="E394" s="4" t="s">
        <v>20</v>
      </c>
      <c r="F394" s="4">
        <v>22</v>
      </c>
      <c r="G394" s="4" t="str" cm="1">
        <f t="array" ref="G394">_xlfn.IFS(F394&lt;30,"Young Adult",F394&lt;50,"Adult",F394&gt;=50,"Senior")</f>
        <v>Young Adult</v>
      </c>
      <c r="H394" s="4" t="s">
        <v>17</v>
      </c>
      <c r="I394" s="4">
        <v>2</v>
      </c>
      <c r="J394" s="11">
        <v>500</v>
      </c>
      <c r="K394" s="13">
        <f>I394*J394</f>
        <v>1000</v>
      </c>
      <c r="L394" s="19">
        <f t="shared" si="19"/>
        <v>15</v>
      </c>
      <c r="M394" s="19">
        <f t="shared" si="20"/>
        <v>20</v>
      </c>
      <c r="N394" s="13" cm="1">
        <f t="array" ref="N394">_xlfn.IFS(C394=2023,K394*$P$2,C394=2024,K394*$P$3)</f>
        <v>15</v>
      </c>
    </row>
    <row r="395" spans="1:14">
      <c r="A395" s="2">
        <v>394</v>
      </c>
      <c r="B395" s="3">
        <v>45080</v>
      </c>
      <c r="C395" s="4">
        <f t="shared" si="18"/>
        <v>2023</v>
      </c>
      <c r="D395" s="4" t="s">
        <v>441</v>
      </c>
      <c r="E395" s="4" t="s">
        <v>20</v>
      </c>
      <c r="F395" s="4">
        <v>27</v>
      </c>
      <c r="G395" s="4" t="str" cm="1">
        <f t="array" ref="G395">_xlfn.IFS(F395&lt;30,"Young Adult",F395&lt;50,"Adult",F395&gt;=50,"Senior")</f>
        <v>Young Adult</v>
      </c>
      <c r="H395" s="4" t="s">
        <v>21</v>
      </c>
      <c r="I395" s="4">
        <v>1</v>
      </c>
      <c r="J395" s="11">
        <v>500</v>
      </c>
      <c r="K395" s="13">
        <f>I395*J395</f>
        <v>500</v>
      </c>
      <c r="L395" s="19">
        <f t="shared" si="19"/>
        <v>7.5</v>
      </c>
      <c r="M395" s="19">
        <f t="shared" si="20"/>
        <v>10</v>
      </c>
      <c r="N395" s="13" cm="1">
        <f t="array" ref="N395">_xlfn.IFS(C395=2023,K395*$P$2,C395=2024,K395*$P$3)</f>
        <v>7.5</v>
      </c>
    </row>
    <row r="396" spans="1:14">
      <c r="A396" s="2">
        <v>395</v>
      </c>
      <c r="B396" s="3">
        <v>45266</v>
      </c>
      <c r="C396" s="4">
        <f t="shared" si="18"/>
        <v>2023</v>
      </c>
      <c r="D396" s="4" t="s">
        <v>442</v>
      </c>
      <c r="E396" s="4" t="s">
        <v>16</v>
      </c>
      <c r="F396" s="4">
        <v>50</v>
      </c>
      <c r="G396" s="4" t="str" cm="1">
        <f t="array" ref="G396">_xlfn.IFS(F396&lt;30,"Young Adult",F396&lt;50,"Adult",F396&gt;=50,"Senior")</f>
        <v>Senior</v>
      </c>
      <c r="H396" s="4" t="s">
        <v>24</v>
      </c>
      <c r="I396" s="4">
        <v>2</v>
      </c>
      <c r="J396" s="11">
        <v>500</v>
      </c>
      <c r="K396" s="13">
        <f>I396*J396</f>
        <v>1000</v>
      </c>
      <c r="L396" s="19">
        <f t="shared" si="19"/>
        <v>15</v>
      </c>
      <c r="M396" s="19">
        <f t="shared" si="20"/>
        <v>20</v>
      </c>
      <c r="N396" s="13" cm="1">
        <f t="array" ref="N396">_xlfn.IFS(C396=2023,K396*$P$2,C396=2024,K396*$P$3)</f>
        <v>15</v>
      </c>
    </row>
    <row r="397" spans="1:14">
      <c r="A397" s="2">
        <v>396</v>
      </c>
      <c r="B397" s="3">
        <v>44980</v>
      </c>
      <c r="C397" s="4">
        <f t="shared" si="18"/>
        <v>2023</v>
      </c>
      <c r="D397" s="4" t="s">
        <v>443</v>
      </c>
      <c r="E397" s="4" t="s">
        <v>20</v>
      </c>
      <c r="F397" s="4">
        <v>55</v>
      </c>
      <c r="G397" s="4" t="str" cm="1">
        <f t="array" ref="G397">_xlfn.IFS(F397&lt;30,"Young Adult",F397&lt;50,"Adult",F397&gt;=50,"Senior")</f>
        <v>Senior</v>
      </c>
      <c r="H397" s="4" t="s">
        <v>17</v>
      </c>
      <c r="I397" s="4">
        <v>1</v>
      </c>
      <c r="J397" s="11">
        <v>30</v>
      </c>
      <c r="K397" s="13">
        <f>I397*J397</f>
        <v>30</v>
      </c>
      <c r="L397" s="19">
        <f t="shared" si="19"/>
        <v>0.44999999999999996</v>
      </c>
      <c r="M397" s="19">
        <f t="shared" si="20"/>
        <v>0.6</v>
      </c>
      <c r="N397" s="13" cm="1">
        <f t="array" ref="N397">_xlfn.IFS(C397=2023,K397*$P$2,C397=2024,K397*$P$3)</f>
        <v>0.44999999999999996</v>
      </c>
    </row>
    <row r="398" spans="1:14">
      <c r="A398" s="2">
        <v>397</v>
      </c>
      <c r="B398" s="3">
        <v>44995</v>
      </c>
      <c r="C398" s="4">
        <f t="shared" si="18"/>
        <v>2023</v>
      </c>
      <c r="D398" s="4" t="s">
        <v>444</v>
      </c>
      <c r="E398" s="4" t="s">
        <v>20</v>
      </c>
      <c r="F398" s="4">
        <v>30</v>
      </c>
      <c r="G398" s="4" t="str" cm="1">
        <f t="array" ref="G398">_xlfn.IFS(F398&lt;30,"Young Adult",F398&lt;50,"Adult",F398&gt;=50,"Senior")</f>
        <v>Adult</v>
      </c>
      <c r="H398" s="4" t="s">
        <v>17</v>
      </c>
      <c r="I398" s="4">
        <v>1</v>
      </c>
      <c r="J398" s="11">
        <v>25</v>
      </c>
      <c r="K398" s="13">
        <f>I398*J398</f>
        <v>25</v>
      </c>
      <c r="L398" s="19">
        <f t="shared" si="19"/>
        <v>0.375</v>
      </c>
      <c r="M398" s="19">
        <f t="shared" si="20"/>
        <v>0.5</v>
      </c>
      <c r="N398" s="13" cm="1">
        <f t="array" ref="N398">_xlfn.IFS(C398=2023,K398*$P$2,C398=2024,K398*$P$3)</f>
        <v>0.375</v>
      </c>
    </row>
    <row r="399" spans="1:14">
      <c r="A399" s="2">
        <v>398</v>
      </c>
      <c r="B399" s="3">
        <v>45062</v>
      </c>
      <c r="C399" s="4">
        <f t="shared" si="18"/>
        <v>2023</v>
      </c>
      <c r="D399" s="4" t="s">
        <v>445</v>
      </c>
      <c r="E399" s="4" t="s">
        <v>20</v>
      </c>
      <c r="F399" s="4">
        <v>48</v>
      </c>
      <c r="G399" s="4" t="str" cm="1">
        <f t="array" ref="G399">_xlfn.IFS(F399&lt;30,"Young Adult",F399&lt;50,"Adult",F399&gt;=50,"Senior")</f>
        <v>Adult</v>
      </c>
      <c r="H399" s="4" t="s">
        <v>21</v>
      </c>
      <c r="I399" s="4">
        <v>2</v>
      </c>
      <c r="J399" s="11">
        <v>300</v>
      </c>
      <c r="K399" s="13">
        <f>I399*J399</f>
        <v>600</v>
      </c>
      <c r="L399" s="19">
        <f t="shared" si="19"/>
        <v>9</v>
      </c>
      <c r="M399" s="19">
        <f t="shared" si="20"/>
        <v>12</v>
      </c>
      <c r="N399" s="13" cm="1">
        <f t="array" ref="N399">_xlfn.IFS(C399=2023,K399*$P$2,C399=2024,K399*$P$3)</f>
        <v>9</v>
      </c>
    </row>
    <row r="400" spans="1:14">
      <c r="A400" s="2">
        <v>399</v>
      </c>
      <c r="B400" s="3">
        <v>44986</v>
      </c>
      <c r="C400" s="4">
        <f t="shared" si="18"/>
        <v>2023</v>
      </c>
      <c r="D400" s="4" t="s">
        <v>446</v>
      </c>
      <c r="E400" s="4" t="s">
        <v>20</v>
      </c>
      <c r="F400" s="4">
        <v>64</v>
      </c>
      <c r="G400" s="4" t="str" cm="1">
        <f t="array" ref="G400">_xlfn.IFS(F400&lt;30,"Young Adult",F400&lt;50,"Adult",F400&gt;=50,"Senior")</f>
        <v>Senior</v>
      </c>
      <c r="H400" s="4" t="s">
        <v>17</v>
      </c>
      <c r="I400" s="4">
        <v>2</v>
      </c>
      <c r="J400" s="11">
        <v>30</v>
      </c>
      <c r="K400" s="13">
        <f>I400*J400</f>
        <v>60</v>
      </c>
      <c r="L400" s="19">
        <f t="shared" si="19"/>
        <v>0.89999999999999991</v>
      </c>
      <c r="M400" s="19">
        <f t="shared" si="20"/>
        <v>1.2</v>
      </c>
      <c r="N400" s="13" cm="1">
        <f t="array" ref="N400">_xlfn.IFS(C400=2023,K400*$P$2,C400=2024,K400*$P$3)</f>
        <v>0.89999999999999991</v>
      </c>
    </row>
    <row r="401" spans="1:14">
      <c r="A401" s="2">
        <v>400</v>
      </c>
      <c r="B401" s="3">
        <v>44981</v>
      </c>
      <c r="C401" s="4">
        <f t="shared" si="18"/>
        <v>2023</v>
      </c>
      <c r="D401" s="4" t="s">
        <v>447</v>
      </c>
      <c r="E401" s="4" t="s">
        <v>16</v>
      </c>
      <c r="F401" s="4">
        <v>53</v>
      </c>
      <c r="G401" s="4" t="str" cm="1">
        <f t="array" ref="G401">_xlfn.IFS(F401&lt;30,"Young Adult",F401&lt;50,"Adult",F401&gt;=50,"Senior")</f>
        <v>Senior</v>
      </c>
      <c r="H401" s="4" t="s">
        <v>21</v>
      </c>
      <c r="I401" s="4">
        <v>4</v>
      </c>
      <c r="J401" s="11">
        <v>50</v>
      </c>
      <c r="K401" s="13">
        <f>I401*J401</f>
        <v>200</v>
      </c>
      <c r="L401" s="19">
        <f t="shared" si="19"/>
        <v>3</v>
      </c>
      <c r="M401" s="19">
        <f t="shared" si="20"/>
        <v>4</v>
      </c>
      <c r="N401" s="13" cm="1">
        <f t="array" ref="N401">_xlfn.IFS(C401=2023,K401*$P$2,C401=2024,K401*$P$3)</f>
        <v>3</v>
      </c>
    </row>
    <row r="402" spans="1:14">
      <c r="A402" s="2">
        <v>401</v>
      </c>
      <c r="B402" s="3">
        <v>45210</v>
      </c>
      <c r="C402" s="4">
        <f t="shared" si="18"/>
        <v>2023</v>
      </c>
      <c r="D402" s="4" t="s">
        <v>448</v>
      </c>
      <c r="E402" s="4" t="s">
        <v>20</v>
      </c>
      <c r="F402" s="4">
        <v>62</v>
      </c>
      <c r="G402" s="4" t="str" cm="1">
        <f t="array" ref="G402">_xlfn.IFS(F402&lt;30,"Young Adult",F402&lt;50,"Adult",F402&gt;=50,"Senior")</f>
        <v>Senior</v>
      </c>
      <c r="H402" s="4" t="s">
        <v>21</v>
      </c>
      <c r="I402" s="4">
        <v>1</v>
      </c>
      <c r="J402" s="11">
        <v>300</v>
      </c>
      <c r="K402" s="13">
        <f>I402*J402</f>
        <v>300</v>
      </c>
      <c r="L402" s="19">
        <f t="shared" si="19"/>
        <v>4.5</v>
      </c>
      <c r="M402" s="19">
        <f t="shared" si="20"/>
        <v>6</v>
      </c>
      <c r="N402" s="13" cm="1">
        <f t="array" ref="N402">_xlfn.IFS(C402=2023,K402*$P$2,C402=2024,K402*$P$3)</f>
        <v>4.5</v>
      </c>
    </row>
    <row r="403" spans="1:14">
      <c r="A403" s="2">
        <v>402</v>
      </c>
      <c r="B403" s="3">
        <v>45006</v>
      </c>
      <c r="C403" s="4">
        <f t="shared" si="18"/>
        <v>2023</v>
      </c>
      <c r="D403" s="4" t="s">
        <v>449</v>
      </c>
      <c r="E403" s="4" t="s">
        <v>20</v>
      </c>
      <c r="F403" s="4">
        <v>41</v>
      </c>
      <c r="G403" s="4" t="str" cm="1">
        <f t="array" ref="G403">_xlfn.IFS(F403&lt;30,"Young Adult",F403&lt;50,"Adult",F403&gt;=50,"Senior")</f>
        <v>Adult</v>
      </c>
      <c r="H403" s="4" t="s">
        <v>21</v>
      </c>
      <c r="I403" s="4">
        <v>2</v>
      </c>
      <c r="J403" s="11">
        <v>300</v>
      </c>
      <c r="K403" s="13">
        <f>I403*J403</f>
        <v>600</v>
      </c>
      <c r="L403" s="19">
        <f t="shared" si="19"/>
        <v>9</v>
      </c>
      <c r="M403" s="19">
        <f t="shared" si="20"/>
        <v>12</v>
      </c>
      <c r="N403" s="13" cm="1">
        <f t="array" ref="N403">_xlfn.IFS(C403=2023,K403*$P$2,C403=2024,K403*$P$3)</f>
        <v>9</v>
      </c>
    </row>
    <row r="404" spans="1:14">
      <c r="A404" s="2">
        <v>403</v>
      </c>
      <c r="B404" s="3">
        <v>45066</v>
      </c>
      <c r="C404" s="4">
        <f t="shared" si="18"/>
        <v>2023</v>
      </c>
      <c r="D404" s="4" t="s">
        <v>450</v>
      </c>
      <c r="E404" s="4" t="s">
        <v>16</v>
      </c>
      <c r="F404" s="4">
        <v>32</v>
      </c>
      <c r="G404" s="4" t="str" cm="1">
        <f t="array" ref="G404">_xlfn.IFS(F404&lt;30,"Young Adult",F404&lt;50,"Adult",F404&gt;=50,"Senior")</f>
        <v>Adult</v>
      </c>
      <c r="H404" s="4" t="s">
        <v>21</v>
      </c>
      <c r="I404" s="4">
        <v>2</v>
      </c>
      <c r="J404" s="11">
        <v>300</v>
      </c>
      <c r="K404" s="13">
        <f>I404*J404</f>
        <v>600</v>
      </c>
      <c r="L404" s="19">
        <f t="shared" si="19"/>
        <v>9</v>
      </c>
      <c r="M404" s="19">
        <f t="shared" si="20"/>
        <v>12</v>
      </c>
      <c r="N404" s="13" cm="1">
        <f t="array" ref="N404">_xlfn.IFS(C404=2023,K404*$P$2,C404=2024,K404*$P$3)</f>
        <v>9</v>
      </c>
    </row>
    <row r="405" spans="1:14">
      <c r="A405" s="2">
        <v>404</v>
      </c>
      <c r="B405" s="3">
        <v>45071</v>
      </c>
      <c r="C405" s="4">
        <f t="shared" si="18"/>
        <v>2023</v>
      </c>
      <c r="D405" s="4" t="s">
        <v>451</v>
      </c>
      <c r="E405" s="4" t="s">
        <v>16</v>
      </c>
      <c r="F405" s="4">
        <v>46</v>
      </c>
      <c r="G405" s="4" t="str" cm="1">
        <f t="array" ref="G405">_xlfn.IFS(F405&lt;30,"Young Adult",F405&lt;50,"Adult",F405&gt;=50,"Senior")</f>
        <v>Adult</v>
      </c>
      <c r="H405" s="4" t="s">
        <v>24</v>
      </c>
      <c r="I405" s="4">
        <v>2</v>
      </c>
      <c r="J405" s="11">
        <v>500</v>
      </c>
      <c r="K405" s="13">
        <f>I405*J405</f>
        <v>1000</v>
      </c>
      <c r="L405" s="19">
        <f t="shared" si="19"/>
        <v>15</v>
      </c>
      <c r="M405" s="19">
        <f t="shared" si="20"/>
        <v>20</v>
      </c>
      <c r="N405" s="13" cm="1">
        <f t="array" ref="N405">_xlfn.IFS(C405=2023,K405*$P$2,C405=2024,K405*$P$3)</f>
        <v>15</v>
      </c>
    </row>
    <row r="406" spans="1:14">
      <c r="A406" s="2">
        <v>405</v>
      </c>
      <c r="B406" s="3">
        <v>45236</v>
      </c>
      <c r="C406" s="4">
        <f t="shared" si="18"/>
        <v>2023</v>
      </c>
      <c r="D406" s="4" t="s">
        <v>452</v>
      </c>
      <c r="E406" s="4" t="s">
        <v>20</v>
      </c>
      <c r="F406" s="4">
        <v>25</v>
      </c>
      <c r="G406" s="4" t="str" cm="1">
        <f t="array" ref="G406">_xlfn.IFS(F406&lt;30,"Young Adult",F406&lt;50,"Adult",F406&gt;=50,"Senior")</f>
        <v>Young Adult</v>
      </c>
      <c r="H406" s="4" t="s">
        <v>21</v>
      </c>
      <c r="I406" s="4">
        <v>4</v>
      </c>
      <c r="J406" s="11">
        <v>300</v>
      </c>
      <c r="K406" s="13">
        <f>I406*J406</f>
        <v>1200</v>
      </c>
      <c r="L406" s="19">
        <f t="shared" si="19"/>
        <v>18</v>
      </c>
      <c r="M406" s="19">
        <f t="shared" si="20"/>
        <v>24</v>
      </c>
      <c r="N406" s="13" cm="1">
        <f t="array" ref="N406">_xlfn.IFS(C406=2023,K406*$P$2,C406=2024,K406*$P$3)</f>
        <v>18</v>
      </c>
    </row>
    <row r="407" spans="1:14">
      <c r="A407" s="2">
        <v>406</v>
      </c>
      <c r="B407" s="3">
        <v>45034</v>
      </c>
      <c r="C407" s="4">
        <f t="shared" si="18"/>
        <v>2023</v>
      </c>
      <c r="D407" s="4" t="s">
        <v>453</v>
      </c>
      <c r="E407" s="4" t="s">
        <v>20</v>
      </c>
      <c r="F407" s="4">
        <v>22</v>
      </c>
      <c r="G407" s="4" t="str" cm="1">
        <f t="array" ref="G407">_xlfn.IFS(F407&lt;30,"Young Adult",F407&lt;50,"Adult",F407&gt;=50,"Senior")</f>
        <v>Young Adult</v>
      </c>
      <c r="H407" s="4" t="s">
        <v>17</v>
      </c>
      <c r="I407" s="4">
        <v>4</v>
      </c>
      <c r="J407" s="11">
        <v>25</v>
      </c>
      <c r="K407" s="13">
        <f>I407*J407</f>
        <v>100</v>
      </c>
      <c r="L407" s="19">
        <f t="shared" si="19"/>
        <v>1.5</v>
      </c>
      <c r="M407" s="19">
        <f t="shared" si="20"/>
        <v>2</v>
      </c>
      <c r="N407" s="13" cm="1">
        <f t="array" ref="N407">_xlfn.IFS(C407=2023,K407*$P$2,C407=2024,K407*$P$3)</f>
        <v>1.5</v>
      </c>
    </row>
    <row r="408" spans="1:14">
      <c r="A408" s="2">
        <v>407</v>
      </c>
      <c r="B408" s="3">
        <v>45102</v>
      </c>
      <c r="C408" s="4">
        <f t="shared" si="18"/>
        <v>2023</v>
      </c>
      <c r="D408" s="4" t="s">
        <v>454</v>
      </c>
      <c r="E408" s="4" t="s">
        <v>20</v>
      </c>
      <c r="F408" s="4">
        <v>46</v>
      </c>
      <c r="G408" s="4" t="str" cm="1">
        <f t="array" ref="G408">_xlfn.IFS(F408&lt;30,"Young Adult",F408&lt;50,"Adult",F408&gt;=50,"Senior")</f>
        <v>Adult</v>
      </c>
      <c r="H408" s="4" t="s">
        <v>24</v>
      </c>
      <c r="I408" s="4">
        <v>3</v>
      </c>
      <c r="J408" s="11">
        <v>300</v>
      </c>
      <c r="K408" s="13">
        <f>I408*J408</f>
        <v>900</v>
      </c>
      <c r="L408" s="19">
        <f t="shared" si="19"/>
        <v>13.5</v>
      </c>
      <c r="M408" s="19">
        <f t="shared" si="20"/>
        <v>18</v>
      </c>
      <c r="N408" s="13" cm="1">
        <f t="array" ref="N408">_xlfn.IFS(C408=2023,K408*$P$2,C408=2024,K408*$P$3)</f>
        <v>13.5</v>
      </c>
    </row>
    <row r="409" spans="1:14">
      <c r="A409" s="2">
        <v>408</v>
      </c>
      <c r="B409" s="3">
        <v>45031</v>
      </c>
      <c r="C409" s="4">
        <f t="shared" si="18"/>
        <v>2023</v>
      </c>
      <c r="D409" s="4" t="s">
        <v>455</v>
      </c>
      <c r="E409" s="4" t="s">
        <v>20</v>
      </c>
      <c r="F409" s="4">
        <v>64</v>
      </c>
      <c r="G409" s="4" t="str" cm="1">
        <f t="array" ref="G409">_xlfn.IFS(F409&lt;30,"Young Adult",F409&lt;50,"Adult",F409&gt;=50,"Senior")</f>
        <v>Senior</v>
      </c>
      <c r="H409" s="4" t="s">
        <v>17</v>
      </c>
      <c r="I409" s="4">
        <v>1</v>
      </c>
      <c r="J409" s="11">
        <v>500</v>
      </c>
      <c r="K409" s="13">
        <f>I409*J409</f>
        <v>500</v>
      </c>
      <c r="L409" s="19">
        <f t="shared" si="19"/>
        <v>7.5</v>
      </c>
      <c r="M409" s="19">
        <f t="shared" si="20"/>
        <v>10</v>
      </c>
      <c r="N409" s="13" cm="1">
        <f t="array" ref="N409">_xlfn.IFS(C409=2023,K409*$P$2,C409=2024,K409*$P$3)</f>
        <v>7.5</v>
      </c>
    </row>
    <row r="410" spans="1:14">
      <c r="A410" s="2">
        <v>409</v>
      </c>
      <c r="B410" s="3">
        <v>45278</v>
      </c>
      <c r="C410" s="4">
        <f t="shared" si="18"/>
        <v>2023</v>
      </c>
      <c r="D410" s="4" t="s">
        <v>456</v>
      </c>
      <c r="E410" s="4" t="s">
        <v>20</v>
      </c>
      <c r="F410" s="4">
        <v>21</v>
      </c>
      <c r="G410" s="4" t="str" cm="1">
        <f t="array" ref="G410">_xlfn.IFS(F410&lt;30,"Young Adult",F410&lt;50,"Adult",F410&gt;=50,"Senior")</f>
        <v>Young Adult</v>
      </c>
      <c r="H410" s="4" t="s">
        <v>24</v>
      </c>
      <c r="I410" s="4">
        <v>3</v>
      </c>
      <c r="J410" s="11">
        <v>300</v>
      </c>
      <c r="K410" s="13">
        <f>I410*J410</f>
        <v>900</v>
      </c>
      <c r="L410" s="19">
        <f t="shared" si="19"/>
        <v>13.5</v>
      </c>
      <c r="M410" s="19">
        <f t="shared" si="20"/>
        <v>18</v>
      </c>
      <c r="N410" s="13" cm="1">
        <f t="array" ref="N410">_xlfn.IFS(C410=2023,K410*$P$2,C410=2024,K410*$P$3)</f>
        <v>13.5</v>
      </c>
    </row>
    <row r="411" spans="1:14">
      <c r="A411" s="2">
        <v>410</v>
      </c>
      <c r="B411" s="3">
        <v>45251</v>
      </c>
      <c r="C411" s="4">
        <f t="shared" si="18"/>
        <v>2023</v>
      </c>
      <c r="D411" s="4" t="s">
        <v>457</v>
      </c>
      <c r="E411" s="4" t="s">
        <v>20</v>
      </c>
      <c r="F411" s="4">
        <v>29</v>
      </c>
      <c r="G411" s="4" t="str" cm="1">
        <f t="array" ref="G411">_xlfn.IFS(F411&lt;30,"Young Adult",F411&lt;50,"Adult",F411&gt;=50,"Senior")</f>
        <v>Young Adult</v>
      </c>
      <c r="H411" s="4" t="s">
        <v>21</v>
      </c>
      <c r="I411" s="4">
        <v>2</v>
      </c>
      <c r="J411" s="11">
        <v>50</v>
      </c>
      <c r="K411" s="13">
        <f>I411*J411</f>
        <v>100</v>
      </c>
      <c r="L411" s="19">
        <f t="shared" si="19"/>
        <v>1.5</v>
      </c>
      <c r="M411" s="19">
        <f t="shared" si="20"/>
        <v>2</v>
      </c>
      <c r="N411" s="13" cm="1">
        <f t="array" ref="N411">_xlfn.IFS(C411=2023,K411*$P$2,C411=2024,K411*$P$3)</f>
        <v>1.5</v>
      </c>
    </row>
    <row r="412" spans="1:14">
      <c r="A412" s="2">
        <v>411</v>
      </c>
      <c r="B412" s="3">
        <v>45062</v>
      </c>
      <c r="C412" s="4">
        <f t="shared" si="18"/>
        <v>2023</v>
      </c>
      <c r="D412" s="4" t="s">
        <v>458</v>
      </c>
      <c r="E412" s="4" t="s">
        <v>16</v>
      </c>
      <c r="F412" s="4">
        <v>62</v>
      </c>
      <c r="G412" s="4" t="str" cm="1">
        <f t="array" ref="G412">_xlfn.IFS(F412&lt;30,"Young Adult",F412&lt;50,"Adult",F412&gt;=50,"Senior")</f>
        <v>Senior</v>
      </c>
      <c r="H412" s="4" t="s">
        <v>24</v>
      </c>
      <c r="I412" s="4">
        <v>4</v>
      </c>
      <c r="J412" s="11">
        <v>50</v>
      </c>
      <c r="K412" s="13">
        <f>I412*J412</f>
        <v>200</v>
      </c>
      <c r="L412" s="19">
        <f t="shared" si="19"/>
        <v>3</v>
      </c>
      <c r="M412" s="19">
        <f t="shared" si="20"/>
        <v>4</v>
      </c>
      <c r="N412" s="13" cm="1">
        <f t="array" ref="N412">_xlfn.IFS(C412=2023,K412*$P$2,C412=2024,K412*$P$3)</f>
        <v>3</v>
      </c>
    </row>
    <row r="413" spans="1:14">
      <c r="A413" s="2">
        <v>412</v>
      </c>
      <c r="B413" s="3">
        <v>45185</v>
      </c>
      <c r="C413" s="4">
        <f t="shared" si="18"/>
        <v>2023</v>
      </c>
      <c r="D413" s="4" t="s">
        <v>459</v>
      </c>
      <c r="E413" s="4" t="s">
        <v>20</v>
      </c>
      <c r="F413" s="4">
        <v>19</v>
      </c>
      <c r="G413" s="4" t="str" cm="1">
        <f t="array" ref="G413">_xlfn.IFS(F413&lt;30,"Young Adult",F413&lt;50,"Adult",F413&gt;=50,"Senior")</f>
        <v>Young Adult</v>
      </c>
      <c r="H413" s="4" t="s">
        <v>24</v>
      </c>
      <c r="I413" s="4">
        <v>4</v>
      </c>
      <c r="J413" s="11">
        <v>500</v>
      </c>
      <c r="K413" s="13">
        <f>I413*J413</f>
        <v>2000</v>
      </c>
      <c r="L413" s="19">
        <f t="shared" si="19"/>
        <v>30</v>
      </c>
      <c r="M413" s="19">
        <f t="shared" si="20"/>
        <v>40</v>
      </c>
      <c r="N413" s="13" cm="1">
        <f t="array" ref="N413">_xlfn.IFS(C413=2023,K413*$P$2,C413=2024,K413*$P$3)</f>
        <v>30</v>
      </c>
    </row>
    <row r="414" spans="1:14">
      <c r="A414" s="2">
        <v>413</v>
      </c>
      <c r="B414" s="3">
        <v>45177</v>
      </c>
      <c r="C414" s="4">
        <f t="shared" si="18"/>
        <v>2023</v>
      </c>
      <c r="D414" s="4" t="s">
        <v>460</v>
      </c>
      <c r="E414" s="4" t="s">
        <v>20</v>
      </c>
      <c r="F414" s="4">
        <v>44</v>
      </c>
      <c r="G414" s="4" t="str" cm="1">
        <f t="array" ref="G414">_xlfn.IFS(F414&lt;30,"Young Adult",F414&lt;50,"Adult",F414&gt;=50,"Senior")</f>
        <v>Adult</v>
      </c>
      <c r="H414" s="4" t="s">
        <v>17</v>
      </c>
      <c r="I414" s="4">
        <v>3</v>
      </c>
      <c r="J414" s="11">
        <v>25</v>
      </c>
      <c r="K414" s="13">
        <f>I414*J414</f>
        <v>75</v>
      </c>
      <c r="L414" s="19">
        <f t="shared" si="19"/>
        <v>1.125</v>
      </c>
      <c r="M414" s="19">
        <f t="shared" si="20"/>
        <v>1.5</v>
      </c>
      <c r="N414" s="13" cm="1">
        <f t="array" ref="N414">_xlfn.IFS(C414=2023,K414*$P$2,C414=2024,K414*$P$3)</f>
        <v>1.125</v>
      </c>
    </row>
    <row r="415" spans="1:14">
      <c r="A415" s="2">
        <v>414</v>
      </c>
      <c r="B415" s="3">
        <v>45055</v>
      </c>
      <c r="C415" s="4">
        <f t="shared" si="18"/>
        <v>2023</v>
      </c>
      <c r="D415" s="4" t="s">
        <v>461</v>
      </c>
      <c r="E415" s="4" t="s">
        <v>16</v>
      </c>
      <c r="F415" s="4">
        <v>48</v>
      </c>
      <c r="G415" s="4" t="str" cm="1">
        <f t="array" ref="G415">_xlfn.IFS(F415&lt;30,"Young Adult",F415&lt;50,"Adult",F415&gt;=50,"Senior")</f>
        <v>Adult</v>
      </c>
      <c r="H415" s="4" t="s">
        <v>17</v>
      </c>
      <c r="I415" s="4">
        <v>4</v>
      </c>
      <c r="J415" s="11">
        <v>25</v>
      </c>
      <c r="K415" s="13">
        <f>I415*J415</f>
        <v>100</v>
      </c>
      <c r="L415" s="19">
        <f t="shared" si="19"/>
        <v>1.5</v>
      </c>
      <c r="M415" s="19">
        <f t="shared" si="20"/>
        <v>2</v>
      </c>
      <c r="N415" s="13" cm="1">
        <f t="array" ref="N415">_xlfn.IFS(C415=2023,K415*$P$2,C415=2024,K415*$P$3)</f>
        <v>1.5</v>
      </c>
    </row>
    <row r="416" spans="1:14">
      <c r="A416" s="2">
        <v>415</v>
      </c>
      <c r="B416" s="3">
        <v>44953</v>
      </c>
      <c r="C416" s="4">
        <f t="shared" si="18"/>
        <v>2023</v>
      </c>
      <c r="D416" s="4" t="s">
        <v>462</v>
      </c>
      <c r="E416" s="4" t="s">
        <v>16</v>
      </c>
      <c r="F416" s="4">
        <v>53</v>
      </c>
      <c r="G416" s="4" t="str" cm="1">
        <f t="array" ref="G416">_xlfn.IFS(F416&lt;30,"Young Adult",F416&lt;50,"Adult",F416&gt;=50,"Senior")</f>
        <v>Senior</v>
      </c>
      <c r="H416" s="4" t="s">
        <v>21</v>
      </c>
      <c r="I416" s="4">
        <v>2</v>
      </c>
      <c r="J416" s="11">
        <v>30</v>
      </c>
      <c r="K416" s="13">
        <f>I416*J416</f>
        <v>60</v>
      </c>
      <c r="L416" s="19">
        <f t="shared" si="19"/>
        <v>0.89999999999999991</v>
      </c>
      <c r="M416" s="19">
        <f t="shared" si="20"/>
        <v>1.2</v>
      </c>
      <c r="N416" s="13" cm="1">
        <f t="array" ref="N416">_xlfn.IFS(C416=2023,K416*$P$2,C416=2024,K416*$P$3)</f>
        <v>0.89999999999999991</v>
      </c>
    </row>
    <row r="417" spans="1:14">
      <c r="A417" s="2">
        <v>416</v>
      </c>
      <c r="B417" s="3">
        <v>44974</v>
      </c>
      <c r="C417" s="4">
        <f t="shared" si="18"/>
        <v>2023</v>
      </c>
      <c r="D417" s="4" t="s">
        <v>463</v>
      </c>
      <c r="E417" s="4" t="s">
        <v>16</v>
      </c>
      <c r="F417" s="4">
        <v>53</v>
      </c>
      <c r="G417" s="4" t="str" cm="1">
        <f t="array" ref="G417">_xlfn.IFS(F417&lt;30,"Young Adult",F417&lt;50,"Adult",F417&gt;=50,"Senior")</f>
        <v>Senior</v>
      </c>
      <c r="H417" s="4" t="s">
        <v>24</v>
      </c>
      <c r="I417" s="4">
        <v>4</v>
      </c>
      <c r="J417" s="11">
        <v>500</v>
      </c>
      <c r="K417" s="13">
        <f>I417*J417</f>
        <v>2000</v>
      </c>
      <c r="L417" s="19">
        <f t="shared" si="19"/>
        <v>30</v>
      </c>
      <c r="M417" s="19">
        <f t="shared" si="20"/>
        <v>40</v>
      </c>
      <c r="N417" s="13" cm="1">
        <f t="array" ref="N417">_xlfn.IFS(C417=2023,K417*$P$2,C417=2024,K417*$P$3)</f>
        <v>30</v>
      </c>
    </row>
    <row r="418" spans="1:14">
      <c r="A418" s="2">
        <v>417</v>
      </c>
      <c r="B418" s="3">
        <v>45251</v>
      </c>
      <c r="C418" s="4">
        <f t="shared" si="18"/>
        <v>2023</v>
      </c>
      <c r="D418" s="4" t="s">
        <v>464</v>
      </c>
      <c r="E418" s="4" t="s">
        <v>16</v>
      </c>
      <c r="F418" s="4">
        <v>43</v>
      </c>
      <c r="G418" s="4" t="str" cm="1">
        <f t="array" ref="G418">_xlfn.IFS(F418&lt;30,"Young Adult",F418&lt;50,"Adult",F418&gt;=50,"Senior")</f>
        <v>Adult</v>
      </c>
      <c r="H418" s="4" t="s">
        <v>24</v>
      </c>
      <c r="I418" s="4">
        <v>3</v>
      </c>
      <c r="J418" s="11">
        <v>300</v>
      </c>
      <c r="K418" s="13">
        <f>I418*J418</f>
        <v>900</v>
      </c>
      <c r="L418" s="19">
        <f t="shared" si="19"/>
        <v>13.5</v>
      </c>
      <c r="M418" s="19">
        <f t="shared" si="20"/>
        <v>18</v>
      </c>
      <c r="N418" s="13" cm="1">
        <f t="array" ref="N418">_xlfn.IFS(C418=2023,K418*$P$2,C418=2024,K418*$P$3)</f>
        <v>13.5</v>
      </c>
    </row>
    <row r="419" spans="1:14">
      <c r="A419" s="2">
        <v>418</v>
      </c>
      <c r="B419" s="3">
        <v>45143</v>
      </c>
      <c r="C419" s="4">
        <f t="shared" si="18"/>
        <v>2023</v>
      </c>
      <c r="D419" s="4" t="s">
        <v>465</v>
      </c>
      <c r="E419" s="4" t="s">
        <v>20</v>
      </c>
      <c r="F419" s="4">
        <v>60</v>
      </c>
      <c r="G419" s="4" t="str" cm="1">
        <f t="array" ref="G419">_xlfn.IFS(F419&lt;30,"Young Adult",F419&lt;50,"Adult",F419&gt;=50,"Senior")</f>
        <v>Senior</v>
      </c>
      <c r="H419" s="4" t="s">
        <v>24</v>
      </c>
      <c r="I419" s="4">
        <v>2</v>
      </c>
      <c r="J419" s="11">
        <v>500</v>
      </c>
      <c r="K419" s="13">
        <f>I419*J419</f>
        <v>1000</v>
      </c>
      <c r="L419" s="19">
        <f t="shared" si="19"/>
        <v>15</v>
      </c>
      <c r="M419" s="19">
        <f t="shared" si="20"/>
        <v>20</v>
      </c>
      <c r="N419" s="13" cm="1">
        <f t="array" ref="N419">_xlfn.IFS(C419=2023,K419*$P$2,C419=2024,K419*$P$3)</f>
        <v>15</v>
      </c>
    </row>
    <row r="420" spans="1:14">
      <c r="A420" s="2">
        <v>419</v>
      </c>
      <c r="B420" s="3">
        <v>45068</v>
      </c>
      <c r="C420" s="4">
        <f t="shared" si="18"/>
        <v>2023</v>
      </c>
      <c r="D420" s="4" t="s">
        <v>466</v>
      </c>
      <c r="E420" s="4" t="s">
        <v>20</v>
      </c>
      <c r="F420" s="4">
        <v>44</v>
      </c>
      <c r="G420" s="4" t="str" cm="1">
        <f t="array" ref="G420">_xlfn.IFS(F420&lt;30,"Young Adult",F420&lt;50,"Adult",F420&gt;=50,"Senior")</f>
        <v>Adult</v>
      </c>
      <c r="H420" s="4" t="s">
        <v>21</v>
      </c>
      <c r="I420" s="4">
        <v>3</v>
      </c>
      <c r="J420" s="11">
        <v>30</v>
      </c>
      <c r="K420" s="13">
        <f>I420*J420</f>
        <v>90</v>
      </c>
      <c r="L420" s="19">
        <f t="shared" si="19"/>
        <v>1.3499999999999999</v>
      </c>
      <c r="M420" s="19">
        <f t="shared" si="20"/>
        <v>1.8</v>
      </c>
      <c r="N420" s="13" cm="1">
        <f t="array" ref="N420">_xlfn.IFS(C420=2023,K420*$P$2,C420=2024,K420*$P$3)</f>
        <v>1.3499999999999999</v>
      </c>
    </row>
    <row r="421" spans="1:14">
      <c r="A421" s="2">
        <v>420</v>
      </c>
      <c r="B421" s="3">
        <v>44949</v>
      </c>
      <c r="C421" s="4">
        <f t="shared" si="18"/>
        <v>2023</v>
      </c>
      <c r="D421" s="4" t="s">
        <v>467</v>
      </c>
      <c r="E421" s="4" t="s">
        <v>20</v>
      </c>
      <c r="F421" s="4">
        <v>22</v>
      </c>
      <c r="G421" s="4" t="str" cm="1">
        <f t="array" ref="G421">_xlfn.IFS(F421&lt;30,"Young Adult",F421&lt;50,"Adult",F421&gt;=50,"Senior")</f>
        <v>Young Adult</v>
      </c>
      <c r="H421" s="4" t="s">
        <v>21</v>
      </c>
      <c r="I421" s="4">
        <v>4</v>
      </c>
      <c r="J421" s="11">
        <v>500</v>
      </c>
      <c r="K421" s="13">
        <f>I421*J421</f>
        <v>2000</v>
      </c>
      <c r="L421" s="19">
        <f t="shared" si="19"/>
        <v>30</v>
      </c>
      <c r="M421" s="19">
        <f t="shared" si="20"/>
        <v>40</v>
      </c>
      <c r="N421" s="13" cm="1">
        <f t="array" ref="N421">_xlfn.IFS(C421=2023,K421*$P$2,C421=2024,K421*$P$3)</f>
        <v>30</v>
      </c>
    </row>
    <row r="422" spans="1:14">
      <c r="A422" s="2">
        <v>421</v>
      </c>
      <c r="B422" s="3">
        <v>44928</v>
      </c>
      <c r="C422" s="4">
        <f t="shared" si="18"/>
        <v>2023</v>
      </c>
      <c r="D422" s="4" t="s">
        <v>468</v>
      </c>
      <c r="E422" s="4" t="s">
        <v>20</v>
      </c>
      <c r="F422" s="4">
        <v>37</v>
      </c>
      <c r="G422" s="4" t="str" cm="1">
        <f t="array" ref="G422">_xlfn.IFS(F422&lt;30,"Young Adult",F422&lt;50,"Adult",F422&gt;=50,"Senior")</f>
        <v>Adult</v>
      </c>
      <c r="H422" s="4" t="s">
        <v>21</v>
      </c>
      <c r="I422" s="4">
        <v>3</v>
      </c>
      <c r="J422" s="11">
        <v>500</v>
      </c>
      <c r="K422" s="13">
        <f>I422*J422</f>
        <v>1500</v>
      </c>
      <c r="L422" s="19">
        <f t="shared" si="19"/>
        <v>22.5</v>
      </c>
      <c r="M422" s="19">
        <f t="shared" si="20"/>
        <v>30</v>
      </c>
      <c r="N422" s="13" cm="1">
        <f t="array" ref="N422">_xlfn.IFS(C422=2023,K422*$P$2,C422=2024,K422*$P$3)</f>
        <v>22.5</v>
      </c>
    </row>
    <row r="423" spans="1:14">
      <c r="A423" s="2">
        <v>422</v>
      </c>
      <c r="B423" s="3">
        <v>45097</v>
      </c>
      <c r="C423" s="4">
        <f t="shared" si="18"/>
        <v>2023</v>
      </c>
      <c r="D423" s="4" t="s">
        <v>469</v>
      </c>
      <c r="E423" s="4" t="s">
        <v>20</v>
      </c>
      <c r="F423" s="4">
        <v>28</v>
      </c>
      <c r="G423" s="4" t="str" cm="1">
        <f t="array" ref="G423">_xlfn.IFS(F423&lt;30,"Young Adult",F423&lt;50,"Adult",F423&gt;=50,"Senior")</f>
        <v>Young Adult</v>
      </c>
      <c r="H423" s="4" t="s">
        <v>21</v>
      </c>
      <c r="I423" s="4">
        <v>3</v>
      </c>
      <c r="J423" s="11">
        <v>30</v>
      </c>
      <c r="K423" s="13">
        <f>I423*J423</f>
        <v>90</v>
      </c>
      <c r="L423" s="19">
        <f t="shared" si="19"/>
        <v>1.3499999999999999</v>
      </c>
      <c r="M423" s="19">
        <f t="shared" si="20"/>
        <v>1.8</v>
      </c>
      <c r="N423" s="13" cm="1">
        <f t="array" ref="N423">_xlfn.IFS(C423=2023,K423*$P$2,C423=2024,K423*$P$3)</f>
        <v>1.3499999999999999</v>
      </c>
    </row>
    <row r="424" spans="1:14">
      <c r="A424" s="2">
        <v>423</v>
      </c>
      <c r="B424" s="3">
        <v>44993</v>
      </c>
      <c r="C424" s="4">
        <f t="shared" si="18"/>
        <v>2023</v>
      </c>
      <c r="D424" s="4" t="s">
        <v>470</v>
      </c>
      <c r="E424" s="4" t="s">
        <v>20</v>
      </c>
      <c r="F424" s="4">
        <v>27</v>
      </c>
      <c r="G424" s="4" t="str" cm="1">
        <f t="array" ref="G424">_xlfn.IFS(F424&lt;30,"Young Adult",F424&lt;50,"Adult",F424&gt;=50,"Senior")</f>
        <v>Young Adult</v>
      </c>
      <c r="H424" s="4" t="s">
        <v>21</v>
      </c>
      <c r="I424" s="4">
        <v>1</v>
      </c>
      <c r="J424" s="11">
        <v>25</v>
      </c>
      <c r="K424" s="13">
        <f>I424*J424</f>
        <v>25</v>
      </c>
      <c r="L424" s="19">
        <f t="shared" si="19"/>
        <v>0.375</v>
      </c>
      <c r="M424" s="19">
        <f t="shared" si="20"/>
        <v>0.5</v>
      </c>
      <c r="N424" s="13" cm="1">
        <f t="array" ref="N424">_xlfn.IFS(C424=2023,K424*$P$2,C424=2024,K424*$P$3)</f>
        <v>0.375</v>
      </c>
    </row>
    <row r="425" spans="1:14">
      <c r="A425" s="2">
        <v>424</v>
      </c>
      <c r="B425" s="3">
        <v>45253</v>
      </c>
      <c r="C425" s="4">
        <f t="shared" si="18"/>
        <v>2023</v>
      </c>
      <c r="D425" s="4" t="s">
        <v>471</v>
      </c>
      <c r="E425" s="4" t="s">
        <v>16</v>
      </c>
      <c r="F425" s="4">
        <v>57</v>
      </c>
      <c r="G425" s="4" t="str" cm="1">
        <f t="array" ref="G425">_xlfn.IFS(F425&lt;30,"Young Adult",F425&lt;50,"Adult",F425&gt;=50,"Senior")</f>
        <v>Senior</v>
      </c>
      <c r="H425" s="4" t="s">
        <v>17</v>
      </c>
      <c r="I425" s="4">
        <v>4</v>
      </c>
      <c r="J425" s="11">
        <v>300</v>
      </c>
      <c r="K425" s="13">
        <f>I425*J425</f>
        <v>1200</v>
      </c>
      <c r="L425" s="19">
        <f t="shared" si="19"/>
        <v>18</v>
      </c>
      <c r="M425" s="19">
        <f t="shared" si="20"/>
        <v>24</v>
      </c>
      <c r="N425" s="13" cm="1">
        <f t="array" ref="N425">_xlfn.IFS(C425=2023,K425*$P$2,C425=2024,K425*$P$3)</f>
        <v>18</v>
      </c>
    </row>
    <row r="426" spans="1:14">
      <c r="A426" s="2">
        <v>425</v>
      </c>
      <c r="B426" s="3">
        <v>45061</v>
      </c>
      <c r="C426" s="4">
        <f t="shared" si="18"/>
        <v>2023</v>
      </c>
      <c r="D426" s="4" t="s">
        <v>472</v>
      </c>
      <c r="E426" s="4" t="s">
        <v>20</v>
      </c>
      <c r="F426" s="4">
        <v>55</v>
      </c>
      <c r="G426" s="4" t="str" cm="1">
        <f t="array" ref="G426">_xlfn.IFS(F426&lt;30,"Young Adult",F426&lt;50,"Adult",F426&gt;=50,"Senior")</f>
        <v>Senior</v>
      </c>
      <c r="H426" s="4" t="s">
        <v>24</v>
      </c>
      <c r="I426" s="4">
        <v>4</v>
      </c>
      <c r="J426" s="11">
        <v>30</v>
      </c>
      <c r="K426" s="13">
        <f>I426*J426</f>
        <v>120</v>
      </c>
      <c r="L426" s="19">
        <f t="shared" si="19"/>
        <v>1.7999999999999998</v>
      </c>
      <c r="M426" s="19">
        <f t="shared" si="20"/>
        <v>2.4</v>
      </c>
      <c r="N426" s="13" cm="1">
        <f t="array" ref="N426">_xlfn.IFS(C426=2023,K426*$P$2,C426=2024,K426*$P$3)</f>
        <v>1.7999999999999998</v>
      </c>
    </row>
    <row r="427" spans="1:14">
      <c r="A427" s="2">
        <v>426</v>
      </c>
      <c r="B427" s="3">
        <v>45009</v>
      </c>
      <c r="C427" s="4">
        <f t="shared" si="18"/>
        <v>2023</v>
      </c>
      <c r="D427" s="4" t="s">
        <v>473</v>
      </c>
      <c r="E427" s="4" t="s">
        <v>16</v>
      </c>
      <c r="F427" s="4">
        <v>23</v>
      </c>
      <c r="G427" s="4" t="str" cm="1">
        <f t="array" ref="G427">_xlfn.IFS(F427&lt;30,"Young Adult",F427&lt;50,"Adult",F427&gt;=50,"Senior")</f>
        <v>Young Adult</v>
      </c>
      <c r="H427" s="4" t="s">
        <v>24</v>
      </c>
      <c r="I427" s="4">
        <v>3</v>
      </c>
      <c r="J427" s="11">
        <v>50</v>
      </c>
      <c r="K427" s="13">
        <f>I427*J427</f>
        <v>150</v>
      </c>
      <c r="L427" s="19">
        <f t="shared" si="19"/>
        <v>2.25</v>
      </c>
      <c r="M427" s="19">
        <f t="shared" si="20"/>
        <v>3</v>
      </c>
      <c r="N427" s="13" cm="1">
        <f t="array" ref="N427">_xlfn.IFS(C427=2023,K427*$P$2,C427=2024,K427*$P$3)</f>
        <v>2.25</v>
      </c>
    </row>
    <row r="428" spans="1:14">
      <c r="A428" s="2">
        <v>427</v>
      </c>
      <c r="B428" s="3">
        <v>45153</v>
      </c>
      <c r="C428" s="4">
        <f t="shared" si="18"/>
        <v>2023</v>
      </c>
      <c r="D428" s="4" t="s">
        <v>474</v>
      </c>
      <c r="E428" s="4" t="s">
        <v>16</v>
      </c>
      <c r="F428" s="4">
        <v>25</v>
      </c>
      <c r="G428" s="4" t="str" cm="1">
        <f t="array" ref="G428">_xlfn.IFS(F428&lt;30,"Young Adult",F428&lt;50,"Adult",F428&gt;=50,"Senior")</f>
        <v>Young Adult</v>
      </c>
      <c r="H428" s="4" t="s">
        <v>24</v>
      </c>
      <c r="I428" s="4">
        <v>1</v>
      </c>
      <c r="J428" s="11">
        <v>25</v>
      </c>
      <c r="K428" s="13">
        <f>I428*J428</f>
        <v>25</v>
      </c>
      <c r="L428" s="19">
        <f t="shared" si="19"/>
        <v>0.375</v>
      </c>
      <c r="M428" s="19">
        <f t="shared" si="20"/>
        <v>0.5</v>
      </c>
      <c r="N428" s="13" cm="1">
        <f t="array" ref="N428">_xlfn.IFS(C428=2023,K428*$P$2,C428=2024,K428*$P$3)</f>
        <v>0.375</v>
      </c>
    </row>
    <row r="429" spans="1:14">
      <c r="A429" s="2">
        <v>428</v>
      </c>
      <c r="B429" s="3">
        <v>45209</v>
      </c>
      <c r="C429" s="4">
        <f t="shared" si="18"/>
        <v>2023</v>
      </c>
      <c r="D429" s="4" t="s">
        <v>475</v>
      </c>
      <c r="E429" s="4" t="s">
        <v>20</v>
      </c>
      <c r="F429" s="4">
        <v>40</v>
      </c>
      <c r="G429" s="4" t="str" cm="1">
        <f t="array" ref="G429">_xlfn.IFS(F429&lt;30,"Young Adult",F429&lt;50,"Adult",F429&gt;=50,"Senior")</f>
        <v>Adult</v>
      </c>
      <c r="H429" s="4" t="s">
        <v>24</v>
      </c>
      <c r="I429" s="4">
        <v>4</v>
      </c>
      <c r="J429" s="11">
        <v>50</v>
      </c>
      <c r="K429" s="13">
        <f>I429*J429</f>
        <v>200</v>
      </c>
      <c r="L429" s="19">
        <f t="shared" si="19"/>
        <v>3</v>
      </c>
      <c r="M429" s="19">
        <f t="shared" si="20"/>
        <v>4</v>
      </c>
      <c r="N429" s="13" cm="1">
        <f t="array" ref="N429">_xlfn.IFS(C429=2023,K429*$P$2,C429=2024,K429*$P$3)</f>
        <v>3</v>
      </c>
    </row>
    <row r="430" spans="1:14">
      <c r="A430" s="2">
        <v>429</v>
      </c>
      <c r="B430" s="3">
        <v>45288</v>
      </c>
      <c r="C430" s="4">
        <f t="shared" si="18"/>
        <v>2023</v>
      </c>
      <c r="D430" s="4" t="s">
        <v>476</v>
      </c>
      <c r="E430" s="4" t="s">
        <v>16</v>
      </c>
      <c r="F430" s="4">
        <v>64</v>
      </c>
      <c r="G430" s="4" t="str" cm="1">
        <f t="array" ref="G430">_xlfn.IFS(F430&lt;30,"Young Adult",F430&lt;50,"Adult",F430&gt;=50,"Senior")</f>
        <v>Senior</v>
      </c>
      <c r="H430" s="4" t="s">
        <v>24</v>
      </c>
      <c r="I430" s="4">
        <v>2</v>
      </c>
      <c r="J430" s="11">
        <v>25</v>
      </c>
      <c r="K430" s="13">
        <f>I430*J430</f>
        <v>50</v>
      </c>
      <c r="L430" s="19">
        <f t="shared" si="19"/>
        <v>0.75</v>
      </c>
      <c r="M430" s="19">
        <f t="shared" si="20"/>
        <v>1</v>
      </c>
      <c r="N430" s="13" cm="1">
        <f t="array" ref="N430">_xlfn.IFS(C430=2023,K430*$P$2,C430=2024,K430*$P$3)</f>
        <v>0.75</v>
      </c>
    </row>
    <row r="431" spans="1:14">
      <c r="A431" s="2">
        <v>430</v>
      </c>
      <c r="B431" s="3">
        <v>45145</v>
      </c>
      <c r="C431" s="4">
        <f t="shared" si="18"/>
        <v>2023</v>
      </c>
      <c r="D431" s="4" t="s">
        <v>477</v>
      </c>
      <c r="E431" s="4" t="s">
        <v>20</v>
      </c>
      <c r="F431" s="4">
        <v>43</v>
      </c>
      <c r="G431" s="4" t="str" cm="1">
        <f t="array" ref="G431">_xlfn.IFS(F431&lt;30,"Young Adult",F431&lt;50,"Adult",F431&gt;=50,"Senior")</f>
        <v>Adult</v>
      </c>
      <c r="H431" s="4" t="s">
        <v>24</v>
      </c>
      <c r="I431" s="4">
        <v>3</v>
      </c>
      <c r="J431" s="11">
        <v>300</v>
      </c>
      <c r="K431" s="13">
        <f>I431*J431</f>
        <v>900</v>
      </c>
      <c r="L431" s="19">
        <f t="shared" si="19"/>
        <v>13.5</v>
      </c>
      <c r="M431" s="19">
        <f t="shared" si="20"/>
        <v>18</v>
      </c>
      <c r="N431" s="13" cm="1">
        <f t="array" ref="N431">_xlfn.IFS(C431=2023,K431*$P$2,C431=2024,K431*$P$3)</f>
        <v>13.5</v>
      </c>
    </row>
    <row r="432" spans="1:14">
      <c r="A432" s="2">
        <v>431</v>
      </c>
      <c r="B432" s="3">
        <v>45214</v>
      </c>
      <c r="C432" s="4">
        <f t="shared" si="18"/>
        <v>2023</v>
      </c>
      <c r="D432" s="4" t="s">
        <v>478</v>
      </c>
      <c r="E432" s="4" t="s">
        <v>16</v>
      </c>
      <c r="F432" s="4">
        <v>63</v>
      </c>
      <c r="G432" s="4" t="str" cm="1">
        <f t="array" ref="G432">_xlfn.IFS(F432&lt;30,"Young Adult",F432&lt;50,"Adult",F432&gt;=50,"Senior")</f>
        <v>Senior</v>
      </c>
      <c r="H432" s="4" t="s">
        <v>24</v>
      </c>
      <c r="I432" s="4">
        <v>4</v>
      </c>
      <c r="J432" s="11">
        <v>300</v>
      </c>
      <c r="K432" s="13">
        <f>I432*J432</f>
        <v>1200</v>
      </c>
      <c r="L432" s="19">
        <f t="shared" si="19"/>
        <v>18</v>
      </c>
      <c r="M432" s="19">
        <f t="shared" si="20"/>
        <v>24</v>
      </c>
      <c r="N432" s="13" cm="1">
        <f t="array" ref="N432">_xlfn.IFS(C432=2023,K432*$P$2,C432=2024,K432*$P$3)</f>
        <v>18</v>
      </c>
    </row>
    <row r="433" spans="1:14">
      <c r="A433" s="2">
        <v>432</v>
      </c>
      <c r="B433" s="3">
        <v>44931</v>
      </c>
      <c r="C433" s="4">
        <f t="shared" si="18"/>
        <v>2023</v>
      </c>
      <c r="D433" s="4" t="s">
        <v>479</v>
      </c>
      <c r="E433" s="4" t="s">
        <v>20</v>
      </c>
      <c r="F433" s="4">
        <v>60</v>
      </c>
      <c r="G433" s="4" t="str" cm="1">
        <f t="array" ref="G433">_xlfn.IFS(F433&lt;30,"Young Adult",F433&lt;50,"Adult",F433&gt;=50,"Senior")</f>
        <v>Senior</v>
      </c>
      <c r="H433" s="4" t="s">
        <v>24</v>
      </c>
      <c r="I433" s="4">
        <v>2</v>
      </c>
      <c r="J433" s="11">
        <v>500</v>
      </c>
      <c r="K433" s="13">
        <f>I433*J433</f>
        <v>1000</v>
      </c>
      <c r="L433" s="19">
        <f t="shared" si="19"/>
        <v>15</v>
      </c>
      <c r="M433" s="19">
        <f t="shared" si="20"/>
        <v>20</v>
      </c>
      <c r="N433" s="13" cm="1">
        <f t="array" ref="N433">_xlfn.IFS(C433=2023,K433*$P$2,C433=2024,K433*$P$3)</f>
        <v>15</v>
      </c>
    </row>
    <row r="434" spans="1:14">
      <c r="A434" s="2">
        <v>433</v>
      </c>
      <c r="B434" s="3">
        <v>44984</v>
      </c>
      <c r="C434" s="4">
        <f t="shared" si="18"/>
        <v>2023</v>
      </c>
      <c r="D434" s="4" t="s">
        <v>480</v>
      </c>
      <c r="E434" s="4" t="s">
        <v>16</v>
      </c>
      <c r="F434" s="4">
        <v>29</v>
      </c>
      <c r="G434" s="4" t="str" cm="1">
        <f t="array" ref="G434">_xlfn.IFS(F434&lt;30,"Young Adult",F434&lt;50,"Adult",F434&gt;=50,"Senior")</f>
        <v>Young Adult</v>
      </c>
      <c r="H434" s="4" t="s">
        <v>17</v>
      </c>
      <c r="I434" s="4">
        <v>4</v>
      </c>
      <c r="J434" s="11">
        <v>50</v>
      </c>
      <c r="K434" s="13">
        <f>I434*J434</f>
        <v>200</v>
      </c>
      <c r="L434" s="19">
        <f t="shared" si="19"/>
        <v>3</v>
      </c>
      <c r="M434" s="19">
        <f t="shared" si="20"/>
        <v>4</v>
      </c>
      <c r="N434" s="13" cm="1">
        <f t="array" ref="N434">_xlfn.IFS(C434=2023,K434*$P$2,C434=2024,K434*$P$3)</f>
        <v>3</v>
      </c>
    </row>
    <row r="435" spans="1:14">
      <c r="A435" s="2">
        <v>434</v>
      </c>
      <c r="B435" s="3">
        <v>44965</v>
      </c>
      <c r="C435" s="4">
        <f t="shared" si="18"/>
        <v>2023</v>
      </c>
      <c r="D435" s="4" t="s">
        <v>481</v>
      </c>
      <c r="E435" s="4" t="s">
        <v>20</v>
      </c>
      <c r="F435" s="4">
        <v>43</v>
      </c>
      <c r="G435" s="4" t="str" cm="1">
        <f t="array" ref="G435">_xlfn.IFS(F435&lt;30,"Young Adult",F435&lt;50,"Adult",F435&gt;=50,"Senior")</f>
        <v>Adult</v>
      </c>
      <c r="H435" s="4" t="s">
        <v>24</v>
      </c>
      <c r="I435" s="4">
        <v>2</v>
      </c>
      <c r="J435" s="11">
        <v>25</v>
      </c>
      <c r="K435" s="13">
        <f>I435*J435</f>
        <v>50</v>
      </c>
      <c r="L435" s="19">
        <f t="shared" si="19"/>
        <v>0.75</v>
      </c>
      <c r="M435" s="19">
        <f t="shared" si="20"/>
        <v>1</v>
      </c>
      <c r="N435" s="13" cm="1">
        <f t="array" ref="N435">_xlfn.IFS(C435=2023,K435*$P$2,C435=2024,K435*$P$3)</f>
        <v>0.75</v>
      </c>
    </row>
    <row r="436" spans="1:14">
      <c r="A436" s="2">
        <v>435</v>
      </c>
      <c r="B436" s="3">
        <v>45280</v>
      </c>
      <c r="C436" s="4">
        <f t="shared" si="18"/>
        <v>2023</v>
      </c>
      <c r="D436" s="4" t="s">
        <v>482</v>
      </c>
      <c r="E436" s="4" t="s">
        <v>20</v>
      </c>
      <c r="F436" s="4">
        <v>30</v>
      </c>
      <c r="G436" s="4" t="str" cm="1">
        <f t="array" ref="G436">_xlfn.IFS(F436&lt;30,"Young Adult",F436&lt;50,"Adult",F436&gt;=50,"Senior")</f>
        <v>Adult</v>
      </c>
      <c r="H436" s="4" t="s">
        <v>17</v>
      </c>
      <c r="I436" s="4">
        <v>3</v>
      </c>
      <c r="J436" s="11">
        <v>300</v>
      </c>
      <c r="K436" s="13">
        <f>I436*J436</f>
        <v>900</v>
      </c>
      <c r="L436" s="19">
        <f t="shared" si="19"/>
        <v>13.5</v>
      </c>
      <c r="M436" s="19">
        <f t="shared" si="20"/>
        <v>18</v>
      </c>
      <c r="N436" s="13" cm="1">
        <f t="array" ref="N436">_xlfn.IFS(C436=2023,K436*$P$2,C436=2024,K436*$P$3)</f>
        <v>13.5</v>
      </c>
    </row>
    <row r="437" spans="1:14">
      <c r="A437" s="2">
        <v>436</v>
      </c>
      <c r="B437" s="3">
        <v>45003</v>
      </c>
      <c r="C437" s="4">
        <f t="shared" si="18"/>
        <v>2023</v>
      </c>
      <c r="D437" s="4" t="s">
        <v>483</v>
      </c>
      <c r="E437" s="4" t="s">
        <v>20</v>
      </c>
      <c r="F437" s="4">
        <v>57</v>
      </c>
      <c r="G437" s="4" t="str" cm="1">
        <f t="array" ref="G437">_xlfn.IFS(F437&lt;30,"Young Adult",F437&lt;50,"Adult",F437&gt;=50,"Senior")</f>
        <v>Senior</v>
      </c>
      <c r="H437" s="4" t="s">
        <v>21</v>
      </c>
      <c r="I437" s="4">
        <v>4</v>
      </c>
      <c r="J437" s="11">
        <v>30</v>
      </c>
      <c r="K437" s="13">
        <f>I437*J437</f>
        <v>120</v>
      </c>
      <c r="L437" s="19">
        <f t="shared" si="19"/>
        <v>1.7999999999999998</v>
      </c>
      <c r="M437" s="19">
        <f t="shared" si="20"/>
        <v>2.4</v>
      </c>
      <c r="N437" s="13" cm="1">
        <f t="array" ref="N437">_xlfn.IFS(C437=2023,K437*$P$2,C437=2024,K437*$P$3)</f>
        <v>1.7999999999999998</v>
      </c>
    </row>
    <row r="438" spans="1:14">
      <c r="A438" s="2">
        <v>437</v>
      </c>
      <c r="B438" s="3">
        <v>45206</v>
      </c>
      <c r="C438" s="4">
        <f t="shared" si="18"/>
        <v>2023</v>
      </c>
      <c r="D438" s="4" t="s">
        <v>484</v>
      </c>
      <c r="E438" s="4" t="s">
        <v>20</v>
      </c>
      <c r="F438" s="4">
        <v>35</v>
      </c>
      <c r="G438" s="4" t="str" cm="1">
        <f t="array" ref="G438">_xlfn.IFS(F438&lt;30,"Young Adult",F438&lt;50,"Adult",F438&gt;=50,"Senior")</f>
        <v>Adult</v>
      </c>
      <c r="H438" s="4" t="s">
        <v>24</v>
      </c>
      <c r="I438" s="4">
        <v>4</v>
      </c>
      <c r="J438" s="11">
        <v>300</v>
      </c>
      <c r="K438" s="13">
        <f>I438*J438</f>
        <v>1200</v>
      </c>
      <c r="L438" s="19">
        <f t="shared" si="19"/>
        <v>18</v>
      </c>
      <c r="M438" s="19">
        <f t="shared" si="20"/>
        <v>24</v>
      </c>
      <c r="N438" s="13" cm="1">
        <f t="array" ref="N438">_xlfn.IFS(C438=2023,K438*$P$2,C438=2024,K438*$P$3)</f>
        <v>18</v>
      </c>
    </row>
    <row r="439" spans="1:14">
      <c r="A439" s="2">
        <v>438</v>
      </c>
      <c r="B439" s="3">
        <v>44945</v>
      </c>
      <c r="C439" s="4">
        <f t="shared" si="18"/>
        <v>2023</v>
      </c>
      <c r="D439" s="4" t="s">
        <v>485</v>
      </c>
      <c r="E439" s="4" t="s">
        <v>20</v>
      </c>
      <c r="F439" s="4">
        <v>42</v>
      </c>
      <c r="G439" s="4" t="str" cm="1">
        <f t="array" ref="G439">_xlfn.IFS(F439&lt;30,"Young Adult",F439&lt;50,"Adult",F439&gt;=50,"Senior")</f>
        <v>Adult</v>
      </c>
      <c r="H439" s="4" t="s">
        <v>21</v>
      </c>
      <c r="I439" s="4">
        <v>1</v>
      </c>
      <c r="J439" s="11">
        <v>30</v>
      </c>
      <c r="K439" s="13">
        <f>I439*J439</f>
        <v>30</v>
      </c>
      <c r="L439" s="19">
        <f t="shared" si="19"/>
        <v>0.44999999999999996</v>
      </c>
      <c r="M439" s="19">
        <f t="shared" si="20"/>
        <v>0.6</v>
      </c>
      <c r="N439" s="13" cm="1">
        <f t="array" ref="N439">_xlfn.IFS(C439=2023,K439*$P$2,C439=2024,K439*$P$3)</f>
        <v>0.44999999999999996</v>
      </c>
    </row>
    <row r="440" spans="1:14">
      <c r="A440" s="2">
        <v>439</v>
      </c>
      <c r="B440" s="3">
        <v>45116</v>
      </c>
      <c r="C440" s="4">
        <f t="shared" si="18"/>
        <v>2023</v>
      </c>
      <c r="D440" s="4" t="s">
        <v>486</v>
      </c>
      <c r="E440" s="4" t="s">
        <v>16</v>
      </c>
      <c r="F440" s="4">
        <v>50</v>
      </c>
      <c r="G440" s="4" t="str" cm="1">
        <f t="array" ref="G440">_xlfn.IFS(F440&lt;30,"Young Adult",F440&lt;50,"Adult",F440&gt;=50,"Senior")</f>
        <v>Senior</v>
      </c>
      <c r="H440" s="4" t="s">
        <v>21</v>
      </c>
      <c r="I440" s="4">
        <v>3</v>
      </c>
      <c r="J440" s="11">
        <v>25</v>
      </c>
      <c r="K440" s="13">
        <f>I440*J440</f>
        <v>75</v>
      </c>
      <c r="L440" s="19">
        <f t="shared" si="19"/>
        <v>1.125</v>
      </c>
      <c r="M440" s="19">
        <f t="shared" si="20"/>
        <v>1.5</v>
      </c>
      <c r="N440" s="13" cm="1">
        <f t="array" ref="N440">_xlfn.IFS(C440=2023,K440*$P$2,C440=2024,K440*$P$3)</f>
        <v>1.125</v>
      </c>
    </row>
    <row r="441" spans="1:14">
      <c r="A441" s="2">
        <v>440</v>
      </c>
      <c r="B441" s="3">
        <v>45225</v>
      </c>
      <c r="C441" s="4">
        <f t="shared" si="18"/>
        <v>2023</v>
      </c>
      <c r="D441" s="4" t="s">
        <v>487</v>
      </c>
      <c r="E441" s="4" t="s">
        <v>16</v>
      </c>
      <c r="F441" s="4">
        <v>64</v>
      </c>
      <c r="G441" s="4" t="str" cm="1">
        <f t="array" ref="G441">_xlfn.IFS(F441&lt;30,"Young Adult",F441&lt;50,"Adult",F441&gt;=50,"Senior")</f>
        <v>Senior</v>
      </c>
      <c r="H441" s="4" t="s">
        <v>21</v>
      </c>
      <c r="I441" s="4">
        <v>2</v>
      </c>
      <c r="J441" s="11">
        <v>300</v>
      </c>
      <c r="K441" s="13">
        <f>I441*J441</f>
        <v>600</v>
      </c>
      <c r="L441" s="19">
        <f t="shared" si="19"/>
        <v>9</v>
      </c>
      <c r="M441" s="19">
        <f t="shared" si="20"/>
        <v>12</v>
      </c>
      <c r="N441" s="13" cm="1">
        <f t="array" ref="N441">_xlfn.IFS(C441=2023,K441*$P$2,C441=2024,K441*$P$3)</f>
        <v>9</v>
      </c>
    </row>
    <row r="442" spans="1:14">
      <c r="A442" s="2">
        <v>441</v>
      </c>
      <c r="B442" s="3">
        <v>45209</v>
      </c>
      <c r="C442" s="4">
        <f t="shared" si="18"/>
        <v>2023</v>
      </c>
      <c r="D442" s="4" t="s">
        <v>488</v>
      </c>
      <c r="E442" s="4" t="s">
        <v>16</v>
      </c>
      <c r="F442" s="4">
        <v>57</v>
      </c>
      <c r="G442" s="4" t="str" cm="1">
        <f t="array" ref="G442">_xlfn.IFS(F442&lt;30,"Young Adult",F442&lt;50,"Adult",F442&gt;=50,"Senior")</f>
        <v>Senior</v>
      </c>
      <c r="H442" s="4" t="s">
        <v>17</v>
      </c>
      <c r="I442" s="4">
        <v>4</v>
      </c>
      <c r="J442" s="11">
        <v>300</v>
      </c>
      <c r="K442" s="13">
        <f>I442*J442</f>
        <v>1200</v>
      </c>
      <c r="L442" s="19">
        <f t="shared" si="19"/>
        <v>18</v>
      </c>
      <c r="M442" s="19">
        <f t="shared" si="20"/>
        <v>24</v>
      </c>
      <c r="N442" s="13" cm="1">
        <f t="array" ref="N442">_xlfn.IFS(C442=2023,K442*$P$2,C442=2024,K442*$P$3)</f>
        <v>18</v>
      </c>
    </row>
    <row r="443" spans="1:14">
      <c r="A443" s="2">
        <v>442</v>
      </c>
      <c r="B443" s="3">
        <v>45002</v>
      </c>
      <c r="C443" s="4">
        <f t="shared" si="18"/>
        <v>2023</v>
      </c>
      <c r="D443" s="4" t="s">
        <v>489</v>
      </c>
      <c r="E443" s="4" t="s">
        <v>20</v>
      </c>
      <c r="F443" s="4">
        <v>60</v>
      </c>
      <c r="G443" s="4" t="str" cm="1">
        <f t="array" ref="G443">_xlfn.IFS(F443&lt;30,"Young Adult",F443&lt;50,"Adult",F443&gt;=50,"Senior")</f>
        <v>Senior</v>
      </c>
      <c r="H443" s="4" t="s">
        <v>21</v>
      </c>
      <c r="I443" s="4">
        <v>4</v>
      </c>
      <c r="J443" s="11">
        <v>25</v>
      </c>
      <c r="K443" s="13">
        <f>I443*J443</f>
        <v>100</v>
      </c>
      <c r="L443" s="19">
        <f t="shared" si="19"/>
        <v>1.5</v>
      </c>
      <c r="M443" s="19">
        <f t="shared" si="20"/>
        <v>2</v>
      </c>
      <c r="N443" s="13" cm="1">
        <f t="array" ref="N443">_xlfn.IFS(C443=2023,K443*$P$2,C443=2024,K443*$P$3)</f>
        <v>1.5</v>
      </c>
    </row>
    <row r="444" spans="1:14">
      <c r="A444" s="2">
        <v>443</v>
      </c>
      <c r="B444" s="3">
        <v>45147</v>
      </c>
      <c r="C444" s="4">
        <f t="shared" si="18"/>
        <v>2023</v>
      </c>
      <c r="D444" s="4" t="s">
        <v>490</v>
      </c>
      <c r="E444" s="4" t="s">
        <v>16</v>
      </c>
      <c r="F444" s="4">
        <v>29</v>
      </c>
      <c r="G444" s="4" t="str" cm="1">
        <f t="array" ref="G444">_xlfn.IFS(F444&lt;30,"Young Adult",F444&lt;50,"Adult",F444&gt;=50,"Senior")</f>
        <v>Young Adult</v>
      </c>
      <c r="H444" s="4" t="s">
        <v>21</v>
      </c>
      <c r="I444" s="4">
        <v>2</v>
      </c>
      <c r="J444" s="11">
        <v>300</v>
      </c>
      <c r="K444" s="13">
        <f>I444*J444</f>
        <v>600</v>
      </c>
      <c r="L444" s="19">
        <f t="shared" si="19"/>
        <v>9</v>
      </c>
      <c r="M444" s="19">
        <f t="shared" si="20"/>
        <v>12</v>
      </c>
      <c r="N444" s="13" cm="1">
        <f t="array" ref="N444">_xlfn.IFS(C444=2023,K444*$P$2,C444=2024,K444*$P$3)</f>
        <v>9</v>
      </c>
    </row>
    <row r="445" spans="1:14">
      <c r="A445" s="2">
        <v>444</v>
      </c>
      <c r="B445" s="3">
        <v>44992</v>
      </c>
      <c r="C445" s="4">
        <f t="shared" si="18"/>
        <v>2023</v>
      </c>
      <c r="D445" s="4" t="s">
        <v>491</v>
      </c>
      <c r="E445" s="4" t="s">
        <v>20</v>
      </c>
      <c r="F445" s="4">
        <v>61</v>
      </c>
      <c r="G445" s="4" t="str" cm="1">
        <f t="array" ref="G445">_xlfn.IFS(F445&lt;30,"Young Adult",F445&lt;50,"Adult",F445&gt;=50,"Senior")</f>
        <v>Senior</v>
      </c>
      <c r="H445" s="4" t="s">
        <v>21</v>
      </c>
      <c r="I445" s="4">
        <v>3</v>
      </c>
      <c r="J445" s="11">
        <v>30</v>
      </c>
      <c r="K445" s="13">
        <f>I445*J445</f>
        <v>90</v>
      </c>
      <c r="L445" s="19">
        <f t="shared" si="19"/>
        <v>1.3499999999999999</v>
      </c>
      <c r="M445" s="19">
        <f t="shared" si="20"/>
        <v>1.8</v>
      </c>
      <c r="N445" s="13" cm="1">
        <f t="array" ref="N445">_xlfn.IFS(C445=2023,K445*$P$2,C445=2024,K445*$P$3)</f>
        <v>1.3499999999999999</v>
      </c>
    </row>
    <row r="446" spans="1:14">
      <c r="A446" s="2">
        <v>445</v>
      </c>
      <c r="B446" s="3">
        <v>44948</v>
      </c>
      <c r="C446" s="4">
        <f t="shared" si="18"/>
        <v>2023</v>
      </c>
      <c r="D446" s="4" t="s">
        <v>492</v>
      </c>
      <c r="E446" s="4" t="s">
        <v>20</v>
      </c>
      <c r="F446" s="4">
        <v>53</v>
      </c>
      <c r="G446" s="4" t="str" cm="1">
        <f t="array" ref="G446">_xlfn.IFS(F446&lt;30,"Young Adult",F446&lt;50,"Adult",F446&gt;=50,"Senior")</f>
        <v>Senior</v>
      </c>
      <c r="H446" s="4" t="s">
        <v>24</v>
      </c>
      <c r="I446" s="4">
        <v>1</v>
      </c>
      <c r="J446" s="11">
        <v>300</v>
      </c>
      <c r="K446" s="13">
        <f>I446*J446</f>
        <v>300</v>
      </c>
      <c r="L446" s="19">
        <f t="shared" si="19"/>
        <v>4.5</v>
      </c>
      <c r="M446" s="19">
        <f t="shared" si="20"/>
        <v>6</v>
      </c>
      <c r="N446" s="13" cm="1">
        <f t="array" ref="N446">_xlfn.IFS(C446=2023,K446*$P$2,C446=2024,K446*$P$3)</f>
        <v>4.5</v>
      </c>
    </row>
    <row r="447" spans="1:14">
      <c r="A447" s="2">
        <v>446</v>
      </c>
      <c r="B447" s="3">
        <v>45084</v>
      </c>
      <c r="C447" s="4">
        <f t="shared" si="18"/>
        <v>2023</v>
      </c>
      <c r="D447" s="4" t="s">
        <v>493</v>
      </c>
      <c r="E447" s="4" t="s">
        <v>16</v>
      </c>
      <c r="F447" s="4">
        <v>21</v>
      </c>
      <c r="G447" s="4" t="str" cm="1">
        <f t="array" ref="G447">_xlfn.IFS(F447&lt;30,"Young Adult",F447&lt;50,"Adult",F447&gt;=50,"Senior")</f>
        <v>Young Adult</v>
      </c>
      <c r="H447" s="4" t="s">
        <v>24</v>
      </c>
      <c r="I447" s="4">
        <v>1</v>
      </c>
      <c r="J447" s="11">
        <v>50</v>
      </c>
      <c r="K447" s="13">
        <f>I447*J447</f>
        <v>50</v>
      </c>
      <c r="L447" s="19">
        <f t="shared" si="19"/>
        <v>0.75</v>
      </c>
      <c r="M447" s="19">
        <f t="shared" si="20"/>
        <v>1</v>
      </c>
      <c r="N447" s="13" cm="1">
        <f t="array" ref="N447">_xlfn.IFS(C447=2023,K447*$P$2,C447=2024,K447*$P$3)</f>
        <v>0.75</v>
      </c>
    </row>
    <row r="448" spans="1:14">
      <c r="A448" s="2">
        <v>447</v>
      </c>
      <c r="B448" s="3">
        <v>45113</v>
      </c>
      <c r="C448" s="4">
        <f t="shared" si="18"/>
        <v>2023</v>
      </c>
      <c r="D448" s="4" t="s">
        <v>494</v>
      </c>
      <c r="E448" s="4" t="s">
        <v>16</v>
      </c>
      <c r="F448" s="4">
        <v>22</v>
      </c>
      <c r="G448" s="4" t="str" cm="1">
        <f t="array" ref="G448">_xlfn.IFS(F448&lt;30,"Young Adult",F448&lt;50,"Adult",F448&gt;=50,"Senior")</f>
        <v>Young Adult</v>
      </c>
      <c r="H448" s="4" t="s">
        <v>17</v>
      </c>
      <c r="I448" s="4">
        <v>4</v>
      </c>
      <c r="J448" s="11">
        <v>500</v>
      </c>
      <c r="K448" s="13">
        <f>I448*J448</f>
        <v>2000</v>
      </c>
      <c r="L448" s="19">
        <f t="shared" si="19"/>
        <v>30</v>
      </c>
      <c r="M448" s="19">
        <f t="shared" si="20"/>
        <v>40</v>
      </c>
      <c r="N448" s="13" cm="1">
        <f t="array" ref="N448">_xlfn.IFS(C448=2023,K448*$P$2,C448=2024,K448*$P$3)</f>
        <v>30</v>
      </c>
    </row>
    <row r="449" spans="1:14">
      <c r="A449" s="2">
        <v>448</v>
      </c>
      <c r="B449" s="3">
        <v>44947</v>
      </c>
      <c r="C449" s="4">
        <f t="shared" si="18"/>
        <v>2023</v>
      </c>
      <c r="D449" s="4" t="s">
        <v>495</v>
      </c>
      <c r="E449" s="4" t="s">
        <v>20</v>
      </c>
      <c r="F449" s="4">
        <v>54</v>
      </c>
      <c r="G449" s="4" t="str" cm="1">
        <f t="array" ref="G449">_xlfn.IFS(F449&lt;30,"Young Adult",F449&lt;50,"Adult",F449&gt;=50,"Senior")</f>
        <v>Senior</v>
      </c>
      <c r="H449" s="4" t="s">
        <v>17</v>
      </c>
      <c r="I449" s="4">
        <v>2</v>
      </c>
      <c r="J449" s="11">
        <v>30</v>
      </c>
      <c r="K449" s="13">
        <f>I449*J449</f>
        <v>60</v>
      </c>
      <c r="L449" s="19">
        <f t="shared" si="19"/>
        <v>0.89999999999999991</v>
      </c>
      <c r="M449" s="19">
        <f t="shared" si="20"/>
        <v>1.2</v>
      </c>
      <c r="N449" s="13" cm="1">
        <f t="array" ref="N449">_xlfn.IFS(C449=2023,K449*$P$2,C449=2024,K449*$P$3)</f>
        <v>0.89999999999999991</v>
      </c>
    </row>
    <row r="450" spans="1:14">
      <c r="A450" s="2">
        <v>449</v>
      </c>
      <c r="B450" s="3">
        <v>45110</v>
      </c>
      <c r="C450" s="4">
        <f t="shared" si="18"/>
        <v>2023</v>
      </c>
      <c r="D450" s="4" t="s">
        <v>496</v>
      </c>
      <c r="E450" s="4" t="s">
        <v>16</v>
      </c>
      <c r="F450" s="4">
        <v>25</v>
      </c>
      <c r="G450" s="4" t="str" cm="1">
        <f t="array" ref="G450">_xlfn.IFS(F450&lt;30,"Young Adult",F450&lt;50,"Adult",F450&gt;=50,"Senior")</f>
        <v>Young Adult</v>
      </c>
      <c r="H450" s="4" t="s">
        <v>24</v>
      </c>
      <c r="I450" s="4">
        <v>4</v>
      </c>
      <c r="J450" s="11">
        <v>50</v>
      </c>
      <c r="K450" s="13">
        <f>I450*J450</f>
        <v>200</v>
      </c>
      <c r="L450" s="19">
        <f t="shared" si="19"/>
        <v>3</v>
      </c>
      <c r="M450" s="19">
        <f t="shared" si="20"/>
        <v>4</v>
      </c>
      <c r="N450" s="13" cm="1">
        <f t="array" ref="N450">_xlfn.IFS(C450=2023,K450*$P$2,C450=2024,K450*$P$3)</f>
        <v>3</v>
      </c>
    </row>
    <row r="451" spans="1:14">
      <c r="A451" s="2">
        <v>450</v>
      </c>
      <c r="B451" s="3">
        <v>45034</v>
      </c>
      <c r="C451" s="4">
        <f t="shared" ref="C451:C514" si="21">YEAR(B451)</f>
        <v>2023</v>
      </c>
      <c r="D451" s="4" t="s">
        <v>497</v>
      </c>
      <c r="E451" s="4" t="s">
        <v>20</v>
      </c>
      <c r="F451" s="4">
        <v>59</v>
      </c>
      <c r="G451" s="4" t="str" cm="1">
        <f t="array" ref="G451">_xlfn.IFS(F451&lt;30,"Young Adult",F451&lt;50,"Adult",F451&gt;=50,"Senior")</f>
        <v>Senior</v>
      </c>
      <c r="H451" s="4" t="s">
        <v>17</v>
      </c>
      <c r="I451" s="4">
        <v>2</v>
      </c>
      <c r="J451" s="11">
        <v>25</v>
      </c>
      <c r="K451" s="13">
        <f>I451*J451</f>
        <v>50</v>
      </c>
      <c r="L451" s="19">
        <f t="shared" ref="L451:L514" si="22">K451*$P$2</f>
        <v>0.75</v>
      </c>
      <c r="M451" s="19">
        <f t="shared" ref="M451:M514" si="23">K451*$P$3</f>
        <v>1</v>
      </c>
      <c r="N451" s="13" cm="1">
        <f t="array" ref="N451">_xlfn.IFS(C451=2023,K451*$P$2,C451=2024,K451*$P$3)</f>
        <v>0.75</v>
      </c>
    </row>
    <row r="452" spans="1:14">
      <c r="A452" s="2">
        <v>451</v>
      </c>
      <c r="B452" s="3">
        <v>45276</v>
      </c>
      <c r="C452" s="4">
        <f t="shared" si="21"/>
        <v>2023</v>
      </c>
      <c r="D452" s="4" t="s">
        <v>498</v>
      </c>
      <c r="E452" s="4" t="s">
        <v>20</v>
      </c>
      <c r="F452" s="4">
        <v>45</v>
      </c>
      <c r="G452" s="4" t="str" cm="1">
        <f t="array" ref="G452">_xlfn.IFS(F452&lt;30,"Young Adult",F452&lt;50,"Adult",F452&gt;=50,"Senior")</f>
        <v>Adult</v>
      </c>
      <c r="H452" s="4" t="s">
        <v>24</v>
      </c>
      <c r="I452" s="4">
        <v>1</v>
      </c>
      <c r="J452" s="11">
        <v>30</v>
      </c>
      <c r="K452" s="13">
        <f>I452*J452</f>
        <v>30</v>
      </c>
      <c r="L452" s="19">
        <f t="shared" si="22"/>
        <v>0.44999999999999996</v>
      </c>
      <c r="M452" s="19">
        <f t="shared" si="23"/>
        <v>0.6</v>
      </c>
      <c r="N452" s="13" cm="1">
        <f t="array" ref="N452">_xlfn.IFS(C452=2023,K452*$P$2,C452=2024,K452*$P$3)</f>
        <v>0.44999999999999996</v>
      </c>
    </row>
    <row r="453" spans="1:14">
      <c r="A453" s="2">
        <v>452</v>
      </c>
      <c r="B453" s="3">
        <v>45054</v>
      </c>
      <c r="C453" s="4">
        <f t="shared" si="21"/>
        <v>2023</v>
      </c>
      <c r="D453" s="4" t="s">
        <v>499</v>
      </c>
      <c r="E453" s="4" t="s">
        <v>20</v>
      </c>
      <c r="F453" s="4">
        <v>48</v>
      </c>
      <c r="G453" s="4" t="str" cm="1">
        <f t="array" ref="G453">_xlfn.IFS(F453&lt;30,"Young Adult",F453&lt;50,"Adult",F453&gt;=50,"Senior")</f>
        <v>Adult</v>
      </c>
      <c r="H453" s="4" t="s">
        <v>21</v>
      </c>
      <c r="I453" s="4">
        <v>3</v>
      </c>
      <c r="J453" s="11">
        <v>500</v>
      </c>
      <c r="K453" s="13">
        <f>I453*J453</f>
        <v>1500</v>
      </c>
      <c r="L453" s="19">
        <f t="shared" si="22"/>
        <v>22.5</v>
      </c>
      <c r="M453" s="19">
        <f t="shared" si="23"/>
        <v>30</v>
      </c>
      <c r="N453" s="13" cm="1">
        <f t="array" ref="N453">_xlfn.IFS(C453=2023,K453*$P$2,C453=2024,K453*$P$3)</f>
        <v>22.5</v>
      </c>
    </row>
    <row r="454" spans="1:14">
      <c r="A454" s="2">
        <v>453</v>
      </c>
      <c r="B454" s="3">
        <v>45268</v>
      </c>
      <c r="C454" s="4">
        <f t="shared" si="21"/>
        <v>2023</v>
      </c>
      <c r="D454" s="4" t="s">
        <v>500</v>
      </c>
      <c r="E454" s="4" t="s">
        <v>20</v>
      </c>
      <c r="F454" s="4">
        <v>26</v>
      </c>
      <c r="G454" s="4" t="str" cm="1">
        <f t="array" ref="G454">_xlfn.IFS(F454&lt;30,"Young Adult",F454&lt;50,"Adult",F454&gt;=50,"Senior")</f>
        <v>Young Adult</v>
      </c>
      <c r="H454" s="4" t="s">
        <v>21</v>
      </c>
      <c r="I454" s="4">
        <v>2</v>
      </c>
      <c r="J454" s="11">
        <v>500</v>
      </c>
      <c r="K454" s="13">
        <f>I454*J454</f>
        <v>1000</v>
      </c>
      <c r="L454" s="19">
        <f t="shared" si="22"/>
        <v>15</v>
      </c>
      <c r="M454" s="19">
        <f t="shared" si="23"/>
        <v>20</v>
      </c>
      <c r="N454" s="13" cm="1">
        <f t="array" ref="N454">_xlfn.IFS(C454=2023,K454*$P$2,C454=2024,K454*$P$3)</f>
        <v>15</v>
      </c>
    </row>
    <row r="455" spans="1:14">
      <c r="A455" s="2">
        <v>454</v>
      </c>
      <c r="B455" s="3">
        <v>44979</v>
      </c>
      <c r="C455" s="4">
        <f t="shared" si="21"/>
        <v>2023</v>
      </c>
      <c r="D455" s="4" t="s">
        <v>501</v>
      </c>
      <c r="E455" s="4" t="s">
        <v>20</v>
      </c>
      <c r="F455" s="4">
        <v>46</v>
      </c>
      <c r="G455" s="4" t="str" cm="1">
        <f t="array" ref="G455">_xlfn.IFS(F455&lt;30,"Young Adult",F455&lt;50,"Adult",F455&gt;=50,"Senior")</f>
        <v>Adult</v>
      </c>
      <c r="H455" s="4" t="s">
        <v>17</v>
      </c>
      <c r="I455" s="4">
        <v>1</v>
      </c>
      <c r="J455" s="11">
        <v>25</v>
      </c>
      <c r="K455" s="13">
        <f>I455*J455</f>
        <v>25</v>
      </c>
      <c r="L455" s="19">
        <f t="shared" si="22"/>
        <v>0.375</v>
      </c>
      <c r="M455" s="19">
        <f t="shared" si="23"/>
        <v>0.5</v>
      </c>
      <c r="N455" s="13" cm="1">
        <f t="array" ref="N455">_xlfn.IFS(C455=2023,K455*$P$2,C455=2024,K455*$P$3)</f>
        <v>0.375</v>
      </c>
    </row>
    <row r="456" spans="1:14">
      <c r="A456" s="2">
        <v>455</v>
      </c>
      <c r="B456" s="3">
        <v>45108</v>
      </c>
      <c r="C456" s="4">
        <f t="shared" si="21"/>
        <v>2023</v>
      </c>
      <c r="D456" s="4" t="s">
        <v>502</v>
      </c>
      <c r="E456" s="4" t="s">
        <v>16</v>
      </c>
      <c r="F456" s="4">
        <v>31</v>
      </c>
      <c r="G456" s="4" t="str" cm="1">
        <f t="array" ref="G456">_xlfn.IFS(F456&lt;30,"Young Adult",F456&lt;50,"Adult",F456&gt;=50,"Senior")</f>
        <v>Adult</v>
      </c>
      <c r="H456" s="4" t="s">
        <v>24</v>
      </c>
      <c r="I456" s="4">
        <v>4</v>
      </c>
      <c r="J456" s="11">
        <v>25</v>
      </c>
      <c r="K456" s="13">
        <f>I456*J456</f>
        <v>100</v>
      </c>
      <c r="L456" s="19">
        <f t="shared" si="22"/>
        <v>1.5</v>
      </c>
      <c r="M456" s="19">
        <f t="shared" si="23"/>
        <v>2</v>
      </c>
      <c r="N456" s="13" cm="1">
        <f t="array" ref="N456">_xlfn.IFS(C456=2023,K456*$P$2,C456=2024,K456*$P$3)</f>
        <v>1.5</v>
      </c>
    </row>
    <row r="457" spans="1:14">
      <c r="A457" s="2">
        <v>456</v>
      </c>
      <c r="B457" s="3">
        <v>45213</v>
      </c>
      <c r="C457" s="4">
        <f t="shared" si="21"/>
        <v>2023</v>
      </c>
      <c r="D457" s="4" t="s">
        <v>503</v>
      </c>
      <c r="E457" s="4" t="s">
        <v>16</v>
      </c>
      <c r="F457" s="4">
        <v>57</v>
      </c>
      <c r="G457" s="4" t="str" cm="1">
        <f t="array" ref="G457">_xlfn.IFS(F457&lt;30,"Young Adult",F457&lt;50,"Adult",F457&gt;=50,"Senior")</f>
        <v>Senior</v>
      </c>
      <c r="H457" s="4" t="s">
        <v>24</v>
      </c>
      <c r="I457" s="4">
        <v>2</v>
      </c>
      <c r="J457" s="11">
        <v>30</v>
      </c>
      <c r="K457" s="13">
        <f>I457*J457</f>
        <v>60</v>
      </c>
      <c r="L457" s="19">
        <f t="shared" si="22"/>
        <v>0.89999999999999991</v>
      </c>
      <c r="M457" s="19">
        <f t="shared" si="23"/>
        <v>1.2</v>
      </c>
      <c r="N457" s="13" cm="1">
        <f t="array" ref="N457">_xlfn.IFS(C457=2023,K457*$P$2,C457=2024,K457*$P$3)</f>
        <v>0.89999999999999991</v>
      </c>
    </row>
    <row r="458" spans="1:14">
      <c r="A458" s="2">
        <v>457</v>
      </c>
      <c r="B458" s="3">
        <v>45135</v>
      </c>
      <c r="C458" s="4">
        <f t="shared" si="21"/>
        <v>2023</v>
      </c>
      <c r="D458" s="4" t="s">
        <v>504</v>
      </c>
      <c r="E458" s="4" t="s">
        <v>20</v>
      </c>
      <c r="F458" s="4">
        <v>58</v>
      </c>
      <c r="G458" s="4" t="str" cm="1">
        <f t="array" ref="G458">_xlfn.IFS(F458&lt;30,"Young Adult",F458&lt;50,"Adult",F458&gt;=50,"Senior")</f>
        <v>Senior</v>
      </c>
      <c r="H458" s="4" t="s">
        <v>17</v>
      </c>
      <c r="I458" s="4">
        <v>3</v>
      </c>
      <c r="J458" s="11">
        <v>300</v>
      </c>
      <c r="K458" s="13">
        <f>I458*J458</f>
        <v>900</v>
      </c>
      <c r="L458" s="19">
        <f t="shared" si="22"/>
        <v>13.5</v>
      </c>
      <c r="M458" s="19">
        <f t="shared" si="23"/>
        <v>18</v>
      </c>
      <c r="N458" s="13" cm="1">
        <f t="array" ref="N458">_xlfn.IFS(C458=2023,K458*$P$2,C458=2024,K458*$P$3)</f>
        <v>13.5</v>
      </c>
    </row>
    <row r="459" spans="1:14">
      <c r="A459" s="2">
        <v>458</v>
      </c>
      <c r="B459" s="3">
        <v>45244</v>
      </c>
      <c r="C459" s="4">
        <f t="shared" si="21"/>
        <v>2023</v>
      </c>
      <c r="D459" s="4" t="s">
        <v>505</v>
      </c>
      <c r="E459" s="4" t="s">
        <v>20</v>
      </c>
      <c r="F459" s="4">
        <v>39</v>
      </c>
      <c r="G459" s="4" t="str" cm="1">
        <f t="array" ref="G459">_xlfn.IFS(F459&lt;30,"Young Adult",F459&lt;50,"Adult",F459&gt;=50,"Senior")</f>
        <v>Adult</v>
      </c>
      <c r="H459" s="4" t="s">
        <v>24</v>
      </c>
      <c r="I459" s="4">
        <v>4</v>
      </c>
      <c r="J459" s="11">
        <v>25</v>
      </c>
      <c r="K459" s="13">
        <f>I459*J459</f>
        <v>100</v>
      </c>
      <c r="L459" s="19">
        <f t="shared" si="22"/>
        <v>1.5</v>
      </c>
      <c r="M459" s="19">
        <f t="shared" si="23"/>
        <v>2</v>
      </c>
      <c r="N459" s="13" cm="1">
        <f t="array" ref="N459">_xlfn.IFS(C459=2023,K459*$P$2,C459=2024,K459*$P$3)</f>
        <v>1.5</v>
      </c>
    </row>
    <row r="460" spans="1:14">
      <c r="A460" s="2">
        <v>459</v>
      </c>
      <c r="B460" s="3">
        <v>45006</v>
      </c>
      <c r="C460" s="4">
        <f t="shared" si="21"/>
        <v>2023</v>
      </c>
      <c r="D460" s="4" t="s">
        <v>506</v>
      </c>
      <c r="E460" s="4" t="s">
        <v>16</v>
      </c>
      <c r="F460" s="4">
        <v>28</v>
      </c>
      <c r="G460" s="4" t="str" cm="1">
        <f t="array" ref="G460">_xlfn.IFS(F460&lt;30,"Young Adult",F460&lt;50,"Adult",F460&gt;=50,"Senior")</f>
        <v>Young Adult</v>
      </c>
      <c r="H460" s="4" t="s">
        <v>21</v>
      </c>
      <c r="I460" s="4">
        <v>4</v>
      </c>
      <c r="J460" s="11">
        <v>300</v>
      </c>
      <c r="K460" s="13">
        <f>I460*J460</f>
        <v>1200</v>
      </c>
      <c r="L460" s="19">
        <f t="shared" si="22"/>
        <v>18</v>
      </c>
      <c r="M460" s="19">
        <f t="shared" si="23"/>
        <v>24</v>
      </c>
      <c r="N460" s="13" cm="1">
        <f t="array" ref="N460">_xlfn.IFS(C460=2023,K460*$P$2,C460=2024,K460*$P$3)</f>
        <v>18</v>
      </c>
    </row>
    <row r="461" spans="1:14">
      <c r="A461" s="2">
        <v>460</v>
      </c>
      <c r="B461" s="3">
        <v>45048</v>
      </c>
      <c r="C461" s="4">
        <f t="shared" si="21"/>
        <v>2023</v>
      </c>
      <c r="D461" s="4" t="s">
        <v>507</v>
      </c>
      <c r="E461" s="4" t="s">
        <v>16</v>
      </c>
      <c r="F461" s="4">
        <v>40</v>
      </c>
      <c r="G461" s="4" t="str" cm="1">
        <f t="array" ref="G461">_xlfn.IFS(F461&lt;30,"Young Adult",F461&lt;50,"Adult",F461&gt;=50,"Senior")</f>
        <v>Adult</v>
      </c>
      <c r="H461" s="4" t="s">
        <v>17</v>
      </c>
      <c r="I461" s="4">
        <v>1</v>
      </c>
      <c r="J461" s="11">
        <v>50</v>
      </c>
      <c r="K461" s="13">
        <f>I461*J461</f>
        <v>50</v>
      </c>
      <c r="L461" s="19">
        <f t="shared" si="22"/>
        <v>0.75</v>
      </c>
      <c r="M461" s="19">
        <f t="shared" si="23"/>
        <v>1</v>
      </c>
      <c r="N461" s="13" cm="1">
        <f t="array" ref="N461">_xlfn.IFS(C461=2023,K461*$P$2,C461=2024,K461*$P$3)</f>
        <v>0.75</v>
      </c>
    </row>
    <row r="462" spans="1:14">
      <c r="A462" s="2">
        <v>461</v>
      </c>
      <c r="B462" s="3">
        <v>45010</v>
      </c>
      <c r="C462" s="4">
        <f t="shared" si="21"/>
        <v>2023</v>
      </c>
      <c r="D462" s="4" t="s">
        <v>508</v>
      </c>
      <c r="E462" s="4" t="s">
        <v>20</v>
      </c>
      <c r="F462" s="4">
        <v>18</v>
      </c>
      <c r="G462" s="4" t="str" cm="1">
        <f t="array" ref="G462">_xlfn.IFS(F462&lt;30,"Young Adult",F462&lt;50,"Adult",F462&gt;=50,"Senior")</f>
        <v>Young Adult</v>
      </c>
      <c r="H462" s="4" t="s">
        <v>17</v>
      </c>
      <c r="I462" s="4">
        <v>2</v>
      </c>
      <c r="J462" s="11">
        <v>500</v>
      </c>
      <c r="K462" s="13">
        <f>I462*J462</f>
        <v>1000</v>
      </c>
      <c r="L462" s="19">
        <f t="shared" si="22"/>
        <v>15</v>
      </c>
      <c r="M462" s="19">
        <f t="shared" si="23"/>
        <v>20</v>
      </c>
      <c r="N462" s="13" cm="1">
        <f t="array" ref="N462">_xlfn.IFS(C462=2023,K462*$P$2,C462=2024,K462*$P$3)</f>
        <v>15</v>
      </c>
    </row>
    <row r="463" spans="1:14">
      <c r="A463" s="2">
        <v>462</v>
      </c>
      <c r="B463" s="3">
        <v>45017</v>
      </c>
      <c r="C463" s="4">
        <f t="shared" si="21"/>
        <v>2023</v>
      </c>
      <c r="D463" s="4" t="s">
        <v>509</v>
      </c>
      <c r="E463" s="4" t="s">
        <v>16</v>
      </c>
      <c r="F463" s="4">
        <v>63</v>
      </c>
      <c r="G463" s="4" t="str" cm="1">
        <f t="array" ref="G463">_xlfn.IFS(F463&lt;30,"Young Adult",F463&lt;50,"Adult",F463&gt;=50,"Senior")</f>
        <v>Senior</v>
      </c>
      <c r="H463" s="4" t="s">
        <v>24</v>
      </c>
      <c r="I463" s="4">
        <v>4</v>
      </c>
      <c r="J463" s="11">
        <v>300</v>
      </c>
      <c r="K463" s="13">
        <f>I463*J463</f>
        <v>1200</v>
      </c>
      <c r="L463" s="19">
        <f t="shared" si="22"/>
        <v>18</v>
      </c>
      <c r="M463" s="19">
        <f t="shared" si="23"/>
        <v>24</v>
      </c>
      <c r="N463" s="13" cm="1">
        <f t="array" ref="N463">_xlfn.IFS(C463=2023,K463*$P$2,C463=2024,K463*$P$3)</f>
        <v>18</v>
      </c>
    </row>
    <row r="464" spans="1:14">
      <c r="A464" s="2">
        <v>463</v>
      </c>
      <c r="B464" s="3">
        <v>45138</v>
      </c>
      <c r="C464" s="4">
        <f t="shared" si="21"/>
        <v>2023</v>
      </c>
      <c r="D464" s="4" t="s">
        <v>510</v>
      </c>
      <c r="E464" s="4" t="s">
        <v>20</v>
      </c>
      <c r="F464" s="4">
        <v>54</v>
      </c>
      <c r="G464" s="4" t="str" cm="1">
        <f t="array" ref="G464">_xlfn.IFS(F464&lt;30,"Young Adult",F464&lt;50,"Adult",F464&gt;=50,"Senior")</f>
        <v>Senior</v>
      </c>
      <c r="H464" s="4" t="s">
        <v>17</v>
      </c>
      <c r="I464" s="4">
        <v>3</v>
      </c>
      <c r="J464" s="11">
        <v>500</v>
      </c>
      <c r="K464" s="13">
        <f>I464*J464</f>
        <v>1500</v>
      </c>
      <c r="L464" s="19">
        <f t="shared" si="22"/>
        <v>22.5</v>
      </c>
      <c r="M464" s="19">
        <f t="shared" si="23"/>
        <v>30</v>
      </c>
      <c r="N464" s="13" cm="1">
        <f t="array" ref="N464">_xlfn.IFS(C464=2023,K464*$P$2,C464=2024,K464*$P$3)</f>
        <v>22.5</v>
      </c>
    </row>
    <row r="465" spans="1:14">
      <c r="A465" s="2">
        <v>464</v>
      </c>
      <c r="B465" s="3">
        <v>44939</v>
      </c>
      <c r="C465" s="4">
        <f t="shared" si="21"/>
        <v>2023</v>
      </c>
      <c r="D465" s="4" t="s">
        <v>511</v>
      </c>
      <c r="E465" s="4" t="s">
        <v>16</v>
      </c>
      <c r="F465" s="4">
        <v>38</v>
      </c>
      <c r="G465" s="4" t="str" cm="1">
        <f t="array" ref="G465">_xlfn.IFS(F465&lt;30,"Young Adult",F465&lt;50,"Adult",F465&gt;=50,"Senior")</f>
        <v>Adult</v>
      </c>
      <c r="H465" s="4" t="s">
        <v>24</v>
      </c>
      <c r="I465" s="4">
        <v>2</v>
      </c>
      <c r="J465" s="11">
        <v>300</v>
      </c>
      <c r="K465" s="13">
        <f>I465*J465</f>
        <v>600</v>
      </c>
      <c r="L465" s="19">
        <f t="shared" si="22"/>
        <v>9</v>
      </c>
      <c r="M465" s="19">
        <f t="shared" si="23"/>
        <v>12</v>
      </c>
      <c r="N465" s="13" cm="1">
        <f t="array" ref="N465">_xlfn.IFS(C465=2023,K465*$P$2,C465=2024,K465*$P$3)</f>
        <v>9</v>
      </c>
    </row>
    <row r="466" spans="1:14">
      <c r="A466" s="2">
        <v>465</v>
      </c>
      <c r="B466" s="3">
        <v>45018</v>
      </c>
      <c r="C466" s="4">
        <f t="shared" si="21"/>
        <v>2023</v>
      </c>
      <c r="D466" s="4" t="s">
        <v>512</v>
      </c>
      <c r="E466" s="4" t="s">
        <v>20</v>
      </c>
      <c r="F466" s="4">
        <v>43</v>
      </c>
      <c r="G466" s="4" t="str" cm="1">
        <f t="array" ref="G466">_xlfn.IFS(F466&lt;30,"Young Adult",F466&lt;50,"Adult",F466&gt;=50,"Senior")</f>
        <v>Adult</v>
      </c>
      <c r="H466" s="4" t="s">
        <v>24</v>
      </c>
      <c r="I466" s="4">
        <v>3</v>
      </c>
      <c r="J466" s="11">
        <v>50</v>
      </c>
      <c r="K466" s="13">
        <f>I466*J466</f>
        <v>150</v>
      </c>
      <c r="L466" s="19">
        <f t="shared" si="22"/>
        <v>2.25</v>
      </c>
      <c r="M466" s="19">
        <f t="shared" si="23"/>
        <v>3</v>
      </c>
      <c r="N466" s="13" cm="1">
        <f t="array" ref="N466">_xlfn.IFS(C466=2023,K466*$P$2,C466=2024,K466*$P$3)</f>
        <v>2.25</v>
      </c>
    </row>
    <row r="467" spans="1:14">
      <c r="A467" s="2">
        <v>466</v>
      </c>
      <c r="B467" s="3">
        <v>45097</v>
      </c>
      <c r="C467" s="4">
        <f t="shared" si="21"/>
        <v>2023</v>
      </c>
      <c r="D467" s="4" t="s">
        <v>513</v>
      </c>
      <c r="E467" s="4" t="s">
        <v>16</v>
      </c>
      <c r="F467" s="4">
        <v>63</v>
      </c>
      <c r="G467" s="4" t="str" cm="1">
        <f t="array" ref="G467">_xlfn.IFS(F467&lt;30,"Young Adult",F467&lt;50,"Adult",F467&gt;=50,"Senior")</f>
        <v>Senior</v>
      </c>
      <c r="H467" s="4" t="s">
        <v>24</v>
      </c>
      <c r="I467" s="4">
        <v>4</v>
      </c>
      <c r="J467" s="11">
        <v>25</v>
      </c>
      <c r="K467" s="13">
        <f>I467*J467</f>
        <v>100</v>
      </c>
      <c r="L467" s="19">
        <f t="shared" si="22"/>
        <v>1.5</v>
      </c>
      <c r="M467" s="19">
        <f t="shared" si="23"/>
        <v>2</v>
      </c>
      <c r="N467" s="13" cm="1">
        <f t="array" ref="N467">_xlfn.IFS(C467=2023,K467*$P$2,C467=2024,K467*$P$3)</f>
        <v>1.5</v>
      </c>
    </row>
    <row r="468" spans="1:14">
      <c r="A468" s="2">
        <v>467</v>
      </c>
      <c r="B468" s="3">
        <v>45137</v>
      </c>
      <c r="C468" s="4">
        <f t="shared" si="21"/>
        <v>2023</v>
      </c>
      <c r="D468" s="4" t="s">
        <v>514</v>
      </c>
      <c r="E468" s="4" t="s">
        <v>20</v>
      </c>
      <c r="F468" s="4">
        <v>53</v>
      </c>
      <c r="G468" s="4" t="str" cm="1">
        <f t="array" ref="G468">_xlfn.IFS(F468&lt;30,"Young Adult",F468&lt;50,"Adult",F468&gt;=50,"Senior")</f>
        <v>Senior</v>
      </c>
      <c r="H468" s="4" t="s">
        <v>24</v>
      </c>
      <c r="I468" s="4">
        <v>3</v>
      </c>
      <c r="J468" s="11">
        <v>50</v>
      </c>
      <c r="K468" s="13">
        <f>I468*J468</f>
        <v>150</v>
      </c>
      <c r="L468" s="19">
        <f t="shared" si="22"/>
        <v>2.25</v>
      </c>
      <c r="M468" s="19">
        <f t="shared" si="23"/>
        <v>3</v>
      </c>
      <c r="N468" s="13" cm="1">
        <f t="array" ref="N468">_xlfn.IFS(C468=2023,K468*$P$2,C468=2024,K468*$P$3)</f>
        <v>2.25</v>
      </c>
    </row>
    <row r="469" spans="1:14">
      <c r="A469" s="2">
        <v>468</v>
      </c>
      <c r="B469" s="3">
        <v>45269</v>
      </c>
      <c r="C469" s="4">
        <f t="shared" si="21"/>
        <v>2023</v>
      </c>
      <c r="D469" s="4" t="s">
        <v>515</v>
      </c>
      <c r="E469" s="4" t="s">
        <v>16</v>
      </c>
      <c r="F469" s="4">
        <v>40</v>
      </c>
      <c r="G469" s="4" t="str" cm="1">
        <f t="array" ref="G469">_xlfn.IFS(F469&lt;30,"Young Adult",F469&lt;50,"Adult",F469&gt;=50,"Senior")</f>
        <v>Adult</v>
      </c>
      <c r="H469" s="4" t="s">
        <v>24</v>
      </c>
      <c r="I469" s="4">
        <v>1</v>
      </c>
      <c r="J469" s="11">
        <v>25</v>
      </c>
      <c r="K469" s="13">
        <f>I469*J469</f>
        <v>25</v>
      </c>
      <c r="L469" s="19">
        <f t="shared" si="22"/>
        <v>0.375</v>
      </c>
      <c r="M469" s="19">
        <f t="shared" si="23"/>
        <v>0.5</v>
      </c>
      <c r="N469" s="13" cm="1">
        <f t="array" ref="N469">_xlfn.IFS(C469=2023,K469*$P$2,C469=2024,K469*$P$3)</f>
        <v>0.375</v>
      </c>
    </row>
    <row r="470" spans="1:14">
      <c r="A470" s="2">
        <v>469</v>
      </c>
      <c r="B470" s="3">
        <v>45054</v>
      </c>
      <c r="C470" s="4">
        <f t="shared" si="21"/>
        <v>2023</v>
      </c>
      <c r="D470" s="4" t="s">
        <v>516</v>
      </c>
      <c r="E470" s="4" t="s">
        <v>16</v>
      </c>
      <c r="F470" s="4">
        <v>18</v>
      </c>
      <c r="G470" s="4" t="str" cm="1">
        <f t="array" ref="G470">_xlfn.IFS(F470&lt;30,"Young Adult",F470&lt;50,"Adult",F470&gt;=50,"Senior")</f>
        <v>Young Adult</v>
      </c>
      <c r="H470" s="4" t="s">
        <v>17</v>
      </c>
      <c r="I470" s="4">
        <v>3</v>
      </c>
      <c r="J470" s="11">
        <v>25</v>
      </c>
      <c r="K470" s="13">
        <f>I470*J470</f>
        <v>75</v>
      </c>
      <c r="L470" s="19">
        <f t="shared" si="22"/>
        <v>1.125</v>
      </c>
      <c r="M470" s="19">
        <f t="shared" si="23"/>
        <v>1.5</v>
      </c>
      <c r="N470" s="13" cm="1">
        <f t="array" ref="N470">_xlfn.IFS(C470=2023,K470*$P$2,C470=2024,K470*$P$3)</f>
        <v>1.125</v>
      </c>
    </row>
    <row r="471" spans="1:14">
      <c r="A471" s="2">
        <v>470</v>
      </c>
      <c r="B471" s="3">
        <v>45063</v>
      </c>
      <c r="C471" s="4">
        <f t="shared" si="21"/>
        <v>2023</v>
      </c>
      <c r="D471" s="4" t="s">
        <v>517</v>
      </c>
      <c r="E471" s="4" t="s">
        <v>20</v>
      </c>
      <c r="F471" s="4">
        <v>57</v>
      </c>
      <c r="G471" s="4" t="str" cm="1">
        <f t="array" ref="G471">_xlfn.IFS(F471&lt;30,"Young Adult",F471&lt;50,"Adult",F471&gt;=50,"Senior")</f>
        <v>Senior</v>
      </c>
      <c r="H471" s="4" t="s">
        <v>21</v>
      </c>
      <c r="I471" s="4">
        <v>2</v>
      </c>
      <c r="J471" s="11">
        <v>500</v>
      </c>
      <c r="K471" s="13">
        <f>I471*J471</f>
        <v>1000</v>
      </c>
      <c r="L471" s="19">
        <f t="shared" si="22"/>
        <v>15</v>
      </c>
      <c r="M471" s="19">
        <f t="shared" si="23"/>
        <v>20</v>
      </c>
      <c r="N471" s="13" cm="1">
        <f t="array" ref="N471">_xlfn.IFS(C471=2023,K471*$P$2,C471=2024,K471*$P$3)</f>
        <v>15</v>
      </c>
    </row>
    <row r="472" spans="1:14">
      <c r="A472" s="2">
        <v>471</v>
      </c>
      <c r="B472" s="3">
        <v>45008</v>
      </c>
      <c r="C472" s="4">
        <f t="shared" si="21"/>
        <v>2023</v>
      </c>
      <c r="D472" s="4" t="s">
        <v>518</v>
      </c>
      <c r="E472" s="4" t="s">
        <v>16</v>
      </c>
      <c r="F472" s="4">
        <v>32</v>
      </c>
      <c r="G472" s="4" t="str" cm="1">
        <f t="array" ref="G472">_xlfn.IFS(F472&lt;30,"Young Adult",F472&lt;50,"Adult",F472&gt;=50,"Senior")</f>
        <v>Adult</v>
      </c>
      <c r="H472" s="4" t="s">
        <v>21</v>
      </c>
      <c r="I472" s="4">
        <v>3</v>
      </c>
      <c r="J472" s="11">
        <v>50</v>
      </c>
      <c r="K472" s="13">
        <f>I472*J472</f>
        <v>150</v>
      </c>
      <c r="L472" s="19">
        <f t="shared" si="22"/>
        <v>2.25</v>
      </c>
      <c r="M472" s="19">
        <f t="shared" si="23"/>
        <v>3</v>
      </c>
      <c r="N472" s="13" cm="1">
        <f t="array" ref="N472">_xlfn.IFS(C472=2023,K472*$P$2,C472=2024,K472*$P$3)</f>
        <v>2.25</v>
      </c>
    </row>
    <row r="473" spans="1:14">
      <c r="A473" s="2">
        <v>472</v>
      </c>
      <c r="B473" s="3">
        <v>45286</v>
      </c>
      <c r="C473" s="4">
        <f t="shared" si="21"/>
        <v>2023</v>
      </c>
      <c r="D473" s="4" t="s">
        <v>519</v>
      </c>
      <c r="E473" s="4" t="s">
        <v>20</v>
      </c>
      <c r="F473" s="4">
        <v>38</v>
      </c>
      <c r="G473" s="4" t="str" cm="1">
        <f t="array" ref="G473">_xlfn.IFS(F473&lt;30,"Young Adult",F473&lt;50,"Adult",F473&gt;=50,"Senior")</f>
        <v>Adult</v>
      </c>
      <c r="H473" s="4" t="s">
        <v>17</v>
      </c>
      <c r="I473" s="4">
        <v>3</v>
      </c>
      <c r="J473" s="11">
        <v>300</v>
      </c>
      <c r="K473" s="13">
        <f>I473*J473</f>
        <v>900</v>
      </c>
      <c r="L473" s="19">
        <f t="shared" si="22"/>
        <v>13.5</v>
      </c>
      <c r="M473" s="19">
        <f t="shared" si="23"/>
        <v>18</v>
      </c>
      <c r="N473" s="13" cm="1">
        <f t="array" ref="N473">_xlfn.IFS(C473=2023,K473*$P$2,C473=2024,K473*$P$3)</f>
        <v>13.5</v>
      </c>
    </row>
    <row r="474" spans="1:14">
      <c r="A474" s="2">
        <v>473</v>
      </c>
      <c r="B474" s="3">
        <v>44982</v>
      </c>
      <c r="C474" s="4">
        <f t="shared" si="21"/>
        <v>2023</v>
      </c>
      <c r="D474" s="4" t="s">
        <v>520</v>
      </c>
      <c r="E474" s="4" t="s">
        <v>16</v>
      </c>
      <c r="F474" s="4">
        <v>64</v>
      </c>
      <c r="G474" s="4" t="str" cm="1">
        <f t="array" ref="G474">_xlfn.IFS(F474&lt;30,"Young Adult",F474&lt;50,"Adult",F474&gt;=50,"Senior")</f>
        <v>Senior</v>
      </c>
      <c r="H474" s="4" t="s">
        <v>17</v>
      </c>
      <c r="I474" s="4">
        <v>1</v>
      </c>
      <c r="J474" s="11">
        <v>50</v>
      </c>
      <c r="K474" s="13">
        <f>I474*J474</f>
        <v>50</v>
      </c>
      <c r="L474" s="19">
        <f t="shared" si="22"/>
        <v>0.75</v>
      </c>
      <c r="M474" s="19">
        <f t="shared" si="23"/>
        <v>1</v>
      </c>
      <c r="N474" s="13" cm="1">
        <f t="array" ref="N474">_xlfn.IFS(C474=2023,K474*$P$2,C474=2024,K474*$P$3)</f>
        <v>0.75</v>
      </c>
    </row>
    <row r="475" spans="1:14">
      <c r="A475" s="2">
        <v>474</v>
      </c>
      <c r="B475" s="3">
        <v>45122</v>
      </c>
      <c r="C475" s="4">
        <f t="shared" si="21"/>
        <v>2023</v>
      </c>
      <c r="D475" s="4" t="s">
        <v>521</v>
      </c>
      <c r="E475" s="4" t="s">
        <v>20</v>
      </c>
      <c r="F475" s="4">
        <v>26</v>
      </c>
      <c r="G475" s="4" t="str" cm="1">
        <f t="array" ref="G475">_xlfn.IFS(F475&lt;30,"Young Adult",F475&lt;50,"Adult",F475&gt;=50,"Senior")</f>
        <v>Young Adult</v>
      </c>
      <c r="H475" s="4" t="s">
        <v>21</v>
      </c>
      <c r="I475" s="4">
        <v>3</v>
      </c>
      <c r="J475" s="11">
        <v>500</v>
      </c>
      <c r="K475" s="13">
        <f>I475*J475</f>
        <v>1500</v>
      </c>
      <c r="L475" s="19">
        <f t="shared" si="22"/>
        <v>22.5</v>
      </c>
      <c r="M475" s="19">
        <f t="shared" si="23"/>
        <v>30</v>
      </c>
      <c r="N475" s="13" cm="1">
        <f t="array" ref="N475">_xlfn.IFS(C475=2023,K475*$P$2,C475=2024,K475*$P$3)</f>
        <v>22.5</v>
      </c>
    </row>
    <row r="476" spans="1:14">
      <c r="A476" s="2">
        <v>475</v>
      </c>
      <c r="B476" s="3">
        <v>44946</v>
      </c>
      <c r="C476" s="4">
        <f t="shared" si="21"/>
        <v>2023</v>
      </c>
      <c r="D476" s="4" t="s">
        <v>522</v>
      </c>
      <c r="E476" s="4" t="s">
        <v>16</v>
      </c>
      <c r="F476" s="4">
        <v>26</v>
      </c>
      <c r="G476" s="4" t="str" cm="1">
        <f t="array" ref="G476">_xlfn.IFS(F476&lt;30,"Young Adult",F476&lt;50,"Adult",F476&gt;=50,"Senior")</f>
        <v>Young Adult</v>
      </c>
      <c r="H476" s="4" t="s">
        <v>21</v>
      </c>
      <c r="I476" s="4">
        <v>3</v>
      </c>
      <c r="J476" s="11">
        <v>25</v>
      </c>
      <c r="K476" s="13">
        <f>I476*J476</f>
        <v>75</v>
      </c>
      <c r="L476" s="19">
        <f t="shared" si="22"/>
        <v>1.125</v>
      </c>
      <c r="M476" s="19">
        <f t="shared" si="23"/>
        <v>1.5</v>
      </c>
      <c r="N476" s="13" cm="1">
        <f t="array" ref="N476">_xlfn.IFS(C476=2023,K476*$P$2,C476=2024,K476*$P$3)</f>
        <v>1.125</v>
      </c>
    </row>
    <row r="477" spans="1:14">
      <c r="A477" s="2">
        <v>476</v>
      </c>
      <c r="B477" s="3">
        <v>45167</v>
      </c>
      <c r="C477" s="4">
        <f t="shared" si="21"/>
        <v>2023</v>
      </c>
      <c r="D477" s="4" t="s">
        <v>523</v>
      </c>
      <c r="E477" s="4" t="s">
        <v>20</v>
      </c>
      <c r="F477" s="4">
        <v>27</v>
      </c>
      <c r="G477" s="4" t="str" cm="1">
        <f t="array" ref="G477">_xlfn.IFS(F477&lt;30,"Young Adult",F477&lt;50,"Adult",F477&gt;=50,"Senior")</f>
        <v>Young Adult</v>
      </c>
      <c r="H477" s="4" t="s">
        <v>21</v>
      </c>
      <c r="I477" s="4">
        <v>4</v>
      </c>
      <c r="J477" s="11">
        <v>500</v>
      </c>
      <c r="K477" s="13">
        <f>I477*J477</f>
        <v>2000</v>
      </c>
      <c r="L477" s="19">
        <f t="shared" si="22"/>
        <v>30</v>
      </c>
      <c r="M477" s="19">
        <f t="shared" si="23"/>
        <v>40</v>
      </c>
      <c r="N477" s="13" cm="1">
        <f t="array" ref="N477">_xlfn.IFS(C477=2023,K477*$P$2,C477=2024,K477*$P$3)</f>
        <v>30</v>
      </c>
    </row>
    <row r="478" spans="1:14">
      <c r="A478" s="2">
        <v>477</v>
      </c>
      <c r="B478" s="3">
        <v>45040</v>
      </c>
      <c r="C478" s="4">
        <f t="shared" si="21"/>
        <v>2023</v>
      </c>
      <c r="D478" s="4" t="s">
        <v>524</v>
      </c>
      <c r="E478" s="4" t="s">
        <v>16</v>
      </c>
      <c r="F478" s="4">
        <v>43</v>
      </c>
      <c r="G478" s="4" t="str" cm="1">
        <f t="array" ref="G478">_xlfn.IFS(F478&lt;30,"Young Adult",F478&lt;50,"Adult",F478&gt;=50,"Senior")</f>
        <v>Adult</v>
      </c>
      <c r="H478" s="4" t="s">
        <v>21</v>
      </c>
      <c r="I478" s="4">
        <v>4</v>
      </c>
      <c r="J478" s="11">
        <v>30</v>
      </c>
      <c r="K478" s="13">
        <f>I478*J478</f>
        <v>120</v>
      </c>
      <c r="L478" s="19">
        <f t="shared" si="22"/>
        <v>1.7999999999999998</v>
      </c>
      <c r="M478" s="19">
        <f t="shared" si="23"/>
        <v>2.4</v>
      </c>
      <c r="N478" s="13" cm="1">
        <f t="array" ref="N478">_xlfn.IFS(C478=2023,K478*$P$2,C478=2024,K478*$P$3)</f>
        <v>1.7999999999999998</v>
      </c>
    </row>
    <row r="479" spans="1:14">
      <c r="A479" s="2">
        <v>478</v>
      </c>
      <c r="B479" s="3">
        <v>45029</v>
      </c>
      <c r="C479" s="4">
        <f t="shared" si="21"/>
        <v>2023</v>
      </c>
      <c r="D479" s="4" t="s">
        <v>525</v>
      </c>
      <c r="E479" s="4" t="s">
        <v>20</v>
      </c>
      <c r="F479" s="4">
        <v>58</v>
      </c>
      <c r="G479" s="4" t="str" cm="1">
        <f t="array" ref="G479">_xlfn.IFS(F479&lt;30,"Young Adult",F479&lt;50,"Adult",F479&gt;=50,"Senior")</f>
        <v>Senior</v>
      </c>
      <c r="H479" s="4" t="s">
        <v>21</v>
      </c>
      <c r="I479" s="4">
        <v>2</v>
      </c>
      <c r="J479" s="11">
        <v>30</v>
      </c>
      <c r="K479" s="13">
        <f>I479*J479</f>
        <v>60</v>
      </c>
      <c r="L479" s="19">
        <f t="shared" si="22"/>
        <v>0.89999999999999991</v>
      </c>
      <c r="M479" s="19">
        <f t="shared" si="23"/>
        <v>1.2</v>
      </c>
      <c r="N479" s="13" cm="1">
        <f t="array" ref="N479">_xlfn.IFS(C479=2023,K479*$P$2,C479=2024,K479*$P$3)</f>
        <v>0.89999999999999991</v>
      </c>
    </row>
    <row r="480" spans="1:14">
      <c r="A480" s="2">
        <v>479</v>
      </c>
      <c r="B480" s="3">
        <v>45162</v>
      </c>
      <c r="C480" s="4">
        <f t="shared" si="21"/>
        <v>2023</v>
      </c>
      <c r="D480" s="4" t="s">
        <v>526</v>
      </c>
      <c r="E480" s="4" t="s">
        <v>16</v>
      </c>
      <c r="F480" s="4">
        <v>52</v>
      </c>
      <c r="G480" s="4" t="str" cm="1">
        <f t="array" ref="G480">_xlfn.IFS(F480&lt;30,"Young Adult",F480&lt;50,"Adult",F480&gt;=50,"Senior")</f>
        <v>Senior</v>
      </c>
      <c r="H480" s="4" t="s">
        <v>24</v>
      </c>
      <c r="I480" s="4">
        <v>4</v>
      </c>
      <c r="J480" s="11">
        <v>300</v>
      </c>
      <c r="K480" s="13">
        <f>I480*J480</f>
        <v>1200</v>
      </c>
      <c r="L480" s="19">
        <f t="shared" si="22"/>
        <v>18</v>
      </c>
      <c r="M480" s="19">
        <f t="shared" si="23"/>
        <v>24</v>
      </c>
      <c r="N480" s="13" cm="1">
        <f t="array" ref="N480">_xlfn.IFS(C480=2023,K480*$P$2,C480=2024,K480*$P$3)</f>
        <v>18</v>
      </c>
    </row>
    <row r="481" spans="1:14">
      <c r="A481" s="2">
        <v>480</v>
      </c>
      <c r="B481" s="3">
        <v>45106</v>
      </c>
      <c r="C481" s="4">
        <f t="shared" si="21"/>
        <v>2023</v>
      </c>
      <c r="D481" s="4" t="s">
        <v>527</v>
      </c>
      <c r="E481" s="4" t="s">
        <v>20</v>
      </c>
      <c r="F481" s="4">
        <v>42</v>
      </c>
      <c r="G481" s="4" t="str" cm="1">
        <f t="array" ref="G481">_xlfn.IFS(F481&lt;30,"Young Adult",F481&lt;50,"Adult",F481&gt;=50,"Senior")</f>
        <v>Adult</v>
      </c>
      <c r="H481" s="4" t="s">
        <v>17</v>
      </c>
      <c r="I481" s="4">
        <v>4</v>
      </c>
      <c r="J481" s="11">
        <v>500</v>
      </c>
      <c r="K481" s="13">
        <f>I481*J481</f>
        <v>2000</v>
      </c>
      <c r="L481" s="19">
        <f t="shared" si="22"/>
        <v>30</v>
      </c>
      <c r="M481" s="19">
        <f t="shared" si="23"/>
        <v>40</v>
      </c>
      <c r="N481" s="13" cm="1">
        <f t="array" ref="N481">_xlfn.IFS(C481=2023,K481*$P$2,C481=2024,K481*$P$3)</f>
        <v>30</v>
      </c>
    </row>
    <row r="482" spans="1:14">
      <c r="A482" s="2">
        <v>481</v>
      </c>
      <c r="B482" s="3">
        <v>45083</v>
      </c>
      <c r="C482" s="4">
        <f t="shared" si="21"/>
        <v>2023</v>
      </c>
      <c r="D482" s="4" t="s">
        <v>528</v>
      </c>
      <c r="E482" s="4" t="s">
        <v>20</v>
      </c>
      <c r="F482" s="4">
        <v>43</v>
      </c>
      <c r="G482" s="4" t="str" cm="1">
        <f t="array" ref="G482">_xlfn.IFS(F482&lt;30,"Young Adult",F482&lt;50,"Adult",F482&gt;=50,"Senior")</f>
        <v>Adult</v>
      </c>
      <c r="H482" s="4" t="s">
        <v>24</v>
      </c>
      <c r="I482" s="4">
        <v>4</v>
      </c>
      <c r="J482" s="11">
        <v>300</v>
      </c>
      <c r="K482" s="13">
        <f>I482*J482</f>
        <v>1200</v>
      </c>
      <c r="L482" s="19">
        <f t="shared" si="22"/>
        <v>18</v>
      </c>
      <c r="M482" s="19">
        <f t="shared" si="23"/>
        <v>24</v>
      </c>
      <c r="N482" s="13" cm="1">
        <f t="array" ref="N482">_xlfn.IFS(C482=2023,K482*$P$2,C482=2024,K482*$P$3)</f>
        <v>18</v>
      </c>
    </row>
    <row r="483" spans="1:14">
      <c r="A483" s="2">
        <v>482</v>
      </c>
      <c r="B483" s="3">
        <v>45043</v>
      </c>
      <c r="C483" s="4">
        <f t="shared" si="21"/>
        <v>2023</v>
      </c>
      <c r="D483" s="4" t="s">
        <v>529</v>
      </c>
      <c r="E483" s="4" t="s">
        <v>20</v>
      </c>
      <c r="F483" s="4">
        <v>28</v>
      </c>
      <c r="G483" s="4" t="str" cm="1">
        <f t="array" ref="G483">_xlfn.IFS(F483&lt;30,"Young Adult",F483&lt;50,"Adult",F483&gt;=50,"Senior")</f>
        <v>Young Adult</v>
      </c>
      <c r="H483" s="4" t="s">
        <v>21</v>
      </c>
      <c r="I483" s="4">
        <v>4</v>
      </c>
      <c r="J483" s="11">
        <v>300</v>
      </c>
      <c r="K483" s="13">
        <f>I483*J483</f>
        <v>1200</v>
      </c>
      <c r="L483" s="19">
        <f t="shared" si="22"/>
        <v>18</v>
      </c>
      <c r="M483" s="19">
        <f t="shared" si="23"/>
        <v>24</v>
      </c>
      <c r="N483" s="13" cm="1">
        <f t="array" ref="N483">_xlfn.IFS(C483=2023,K483*$P$2,C483=2024,K483*$P$3)</f>
        <v>18</v>
      </c>
    </row>
    <row r="484" spans="1:14">
      <c r="A484" s="2">
        <v>483</v>
      </c>
      <c r="B484" s="3">
        <v>45041</v>
      </c>
      <c r="C484" s="4">
        <f t="shared" si="21"/>
        <v>2023</v>
      </c>
      <c r="D484" s="4" t="s">
        <v>530</v>
      </c>
      <c r="E484" s="4" t="s">
        <v>16</v>
      </c>
      <c r="F484" s="4">
        <v>55</v>
      </c>
      <c r="G484" s="4" t="str" cm="1">
        <f t="array" ref="G484">_xlfn.IFS(F484&lt;30,"Young Adult",F484&lt;50,"Adult",F484&gt;=50,"Senior")</f>
        <v>Senior</v>
      </c>
      <c r="H484" s="4" t="s">
        <v>21</v>
      </c>
      <c r="I484" s="4">
        <v>1</v>
      </c>
      <c r="J484" s="11">
        <v>30</v>
      </c>
      <c r="K484" s="13">
        <f>I484*J484</f>
        <v>30</v>
      </c>
      <c r="L484" s="19">
        <f t="shared" si="22"/>
        <v>0.44999999999999996</v>
      </c>
      <c r="M484" s="19">
        <f t="shared" si="23"/>
        <v>0.6</v>
      </c>
      <c r="N484" s="13" cm="1">
        <f t="array" ref="N484">_xlfn.IFS(C484=2023,K484*$P$2,C484=2024,K484*$P$3)</f>
        <v>0.44999999999999996</v>
      </c>
    </row>
    <row r="485" spans="1:14">
      <c r="A485" s="2">
        <v>484</v>
      </c>
      <c r="B485" s="3">
        <v>44939</v>
      </c>
      <c r="C485" s="4">
        <f t="shared" si="21"/>
        <v>2023</v>
      </c>
      <c r="D485" s="4" t="s">
        <v>531</v>
      </c>
      <c r="E485" s="4" t="s">
        <v>20</v>
      </c>
      <c r="F485" s="4">
        <v>19</v>
      </c>
      <c r="G485" s="4" t="str" cm="1">
        <f t="array" ref="G485">_xlfn.IFS(F485&lt;30,"Young Adult",F485&lt;50,"Adult",F485&gt;=50,"Senior")</f>
        <v>Young Adult</v>
      </c>
      <c r="H485" s="4" t="s">
        <v>21</v>
      </c>
      <c r="I485" s="4">
        <v>4</v>
      </c>
      <c r="J485" s="11">
        <v>300</v>
      </c>
      <c r="K485" s="13">
        <f>I485*J485</f>
        <v>1200</v>
      </c>
      <c r="L485" s="19">
        <f t="shared" si="22"/>
        <v>18</v>
      </c>
      <c r="M485" s="19">
        <f t="shared" si="23"/>
        <v>24</v>
      </c>
      <c r="N485" s="13" cm="1">
        <f t="array" ref="N485">_xlfn.IFS(C485=2023,K485*$P$2,C485=2024,K485*$P$3)</f>
        <v>18</v>
      </c>
    </row>
    <row r="486" spans="1:14">
      <c r="A486" s="2">
        <v>485</v>
      </c>
      <c r="B486" s="3">
        <v>45264</v>
      </c>
      <c r="C486" s="4">
        <f t="shared" si="21"/>
        <v>2023</v>
      </c>
      <c r="D486" s="4" t="s">
        <v>532</v>
      </c>
      <c r="E486" s="4" t="s">
        <v>16</v>
      </c>
      <c r="F486" s="4">
        <v>24</v>
      </c>
      <c r="G486" s="4" t="str" cm="1">
        <f t="array" ref="G486">_xlfn.IFS(F486&lt;30,"Young Adult",F486&lt;50,"Adult",F486&gt;=50,"Senior")</f>
        <v>Young Adult</v>
      </c>
      <c r="H486" s="4" t="s">
        <v>24</v>
      </c>
      <c r="I486" s="4">
        <v>1</v>
      </c>
      <c r="J486" s="11">
        <v>30</v>
      </c>
      <c r="K486" s="13">
        <f>I486*J486</f>
        <v>30</v>
      </c>
      <c r="L486" s="19">
        <f t="shared" si="22"/>
        <v>0.44999999999999996</v>
      </c>
      <c r="M486" s="19">
        <f t="shared" si="23"/>
        <v>0.6</v>
      </c>
      <c r="N486" s="13" cm="1">
        <f t="array" ref="N486">_xlfn.IFS(C486=2023,K486*$P$2,C486=2024,K486*$P$3)</f>
        <v>0.44999999999999996</v>
      </c>
    </row>
    <row r="487" spans="1:14">
      <c r="A487" s="2">
        <v>486</v>
      </c>
      <c r="B487" s="3">
        <v>45025</v>
      </c>
      <c r="C487" s="4">
        <f t="shared" si="21"/>
        <v>2023</v>
      </c>
      <c r="D487" s="4" t="s">
        <v>533</v>
      </c>
      <c r="E487" s="4" t="s">
        <v>20</v>
      </c>
      <c r="F487" s="4">
        <v>35</v>
      </c>
      <c r="G487" s="4" t="str" cm="1">
        <f t="array" ref="G487">_xlfn.IFS(F487&lt;30,"Young Adult",F487&lt;50,"Adult",F487&gt;=50,"Senior")</f>
        <v>Adult</v>
      </c>
      <c r="H487" s="4" t="s">
        <v>24</v>
      </c>
      <c r="I487" s="4">
        <v>1</v>
      </c>
      <c r="J487" s="11">
        <v>25</v>
      </c>
      <c r="K487" s="13">
        <f>I487*J487</f>
        <v>25</v>
      </c>
      <c r="L487" s="19">
        <f t="shared" si="22"/>
        <v>0.375</v>
      </c>
      <c r="M487" s="19">
        <f t="shared" si="23"/>
        <v>0.5</v>
      </c>
      <c r="N487" s="13" cm="1">
        <f t="array" ref="N487">_xlfn.IFS(C487=2023,K487*$P$2,C487=2024,K487*$P$3)</f>
        <v>0.375</v>
      </c>
    </row>
    <row r="488" spans="1:14">
      <c r="A488" s="2">
        <v>487</v>
      </c>
      <c r="B488" s="3">
        <v>45131</v>
      </c>
      <c r="C488" s="4">
        <f t="shared" si="21"/>
        <v>2023</v>
      </c>
      <c r="D488" s="4" t="s">
        <v>534</v>
      </c>
      <c r="E488" s="4" t="s">
        <v>16</v>
      </c>
      <c r="F488" s="4">
        <v>44</v>
      </c>
      <c r="G488" s="4" t="str" cm="1">
        <f t="array" ref="G488">_xlfn.IFS(F488&lt;30,"Young Adult",F488&lt;50,"Adult",F488&gt;=50,"Senior")</f>
        <v>Adult</v>
      </c>
      <c r="H488" s="4" t="s">
        <v>21</v>
      </c>
      <c r="I488" s="4">
        <v>4</v>
      </c>
      <c r="J488" s="11">
        <v>500</v>
      </c>
      <c r="K488" s="13">
        <f>I488*J488</f>
        <v>2000</v>
      </c>
      <c r="L488" s="19">
        <f t="shared" si="22"/>
        <v>30</v>
      </c>
      <c r="M488" s="19">
        <f t="shared" si="23"/>
        <v>40</v>
      </c>
      <c r="N488" s="13" cm="1">
        <f t="array" ref="N488">_xlfn.IFS(C488=2023,K488*$P$2,C488=2024,K488*$P$3)</f>
        <v>30</v>
      </c>
    </row>
    <row r="489" spans="1:14">
      <c r="A489" s="2">
        <v>488</v>
      </c>
      <c r="B489" s="3">
        <v>45095</v>
      </c>
      <c r="C489" s="4">
        <f t="shared" si="21"/>
        <v>2023</v>
      </c>
      <c r="D489" s="4" t="s">
        <v>535</v>
      </c>
      <c r="E489" s="4" t="s">
        <v>20</v>
      </c>
      <c r="F489" s="4">
        <v>51</v>
      </c>
      <c r="G489" s="4" t="str" cm="1">
        <f t="array" ref="G489">_xlfn.IFS(F489&lt;30,"Young Adult",F489&lt;50,"Adult",F489&gt;=50,"Senior")</f>
        <v>Senior</v>
      </c>
      <c r="H489" s="4" t="s">
        <v>24</v>
      </c>
      <c r="I489" s="4">
        <v>3</v>
      </c>
      <c r="J489" s="11">
        <v>300</v>
      </c>
      <c r="K489" s="13">
        <f>I489*J489</f>
        <v>900</v>
      </c>
      <c r="L489" s="19">
        <f t="shared" si="22"/>
        <v>13.5</v>
      </c>
      <c r="M489" s="19">
        <f t="shared" si="23"/>
        <v>18</v>
      </c>
      <c r="N489" s="13" cm="1">
        <f t="array" ref="N489">_xlfn.IFS(C489=2023,K489*$P$2,C489=2024,K489*$P$3)</f>
        <v>13.5</v>
      </c>
    </row>
    <row r="490" spans="1:14">
      <c r="A490" s="2">
        <v>489</v>
      </c>
      <c r="B490" s="3">
        <v>45069</v>
      </c>
      <c r="C490" s="4">
        <f t="shared" si="21"/>
        <v>2023</v>
      </c>
      <c r="D490" s="4" t="s">
        <v>536</v>
      </c>
      <c r="E490" s="4" t="s">
        <v>16</v>
      </c>
      <c r="F490" s="4">
        <v>44</v>
      </c>
      <c r="G490" s="4" t="str" cm="1">
        <f t="array" ref="G490">_xlfn.IFS(F490&lt;30,"Young Adult",F490&lt;50,"Adult",F490&gt;=50,"Senior")</f>
        <v>Adult</v>
      </c>
      <c r="H490" s="4" t="s">
        <v>24</v>
      </c>
      <c r="I490" s="4">
        <v>1</v>
      </c>
      <c r="J490" s="11">
        <v>30</v>
      </c>
      <c r="K490" s="13">
        <f>I490*J490</f>
        <v>30</v>
      </c>
      <c r="L490" s="19">
        <f t="shared" si="22"/>
        <v>0.44999999999999996</v>
      </c>
      <c r="M490" s="19">
        <f t="shared" si="23"/>
        <v>0.6</v>
      </c>
      <c r="N490" s="13" cm="1">
        <f t="array" ref="N490">_xlfn.IFS(C490=2023,K490*$P$2,C490=2024,K490*$P$3)</f>
        <v>0.44999999999999996</v>
      </c>
    </row>
    <row r="491" spans="1:14">
      <c r="A491" s="2">
        <v>490</v>
      </c>
      <c r="B491" s="3">
        <v>44962</v>
      </c>
      <c r="C491" s="4">
        <f t="shared" si="21"/>
        <v>2023</v>
      </c>
      <c r="D491" s="4" t="s">
        <v>537</v>
      </c>
      <c r="E491" s="4" t="s">
        <v>16</v>
      </c>
      <c r="F491" s="4">
        <v>34</v>
      </c>
      <c r="G491" s="4" t="str" cm="1">
        <f t="array" ref="G491">_xlfn.IFS(F491&lt;30,"Young Adult",F491&lt;50,"Adult",F491&gt;=50,"Senior")</f>
        <v>Adult</v>
      </c>
      <c r="H491" s="4" t="s">
        <v>21</v>
      </c>
      <c r="I491" s="4">
        <v>3</v>
      </c>
      <c r="J491" s="11">
        <v>50</v>
      </c>
      <c r="K491" s="13">
        <f>I491*J491</f>
        <v>150</v>
      </c>
      <c r="L491" s="19">
        <f t="shared" si="22"/>
        <v>2.25</v>
      </c>
      <c r="M491" s="19">
        <f t="shared" si="23"/>
        <v>3</v>
      </c>
      <c r="N491" s="13" cm="1">
        <f t="array" ref="N491">_xlfn.IFS(C491=2023,K491*$P$2,C491=2024,K491*$P$3)</f>
        <v>2.25</v>
      </c>
    </row>
    <row r="492" spans="1:14">
      <c r="A492" s="2">
        <v>491</v>
      </c>
      <c r="B492" s="3">
        <v>45069</v>
      </c>
      <c r="C492" s="4">
        <f t="shared" si="21"/>
        <v>2023</v>
      </c>
      <c r="D492" s="4" t="s">
        <v>538</v>
      </c>
      <c r="E492" s="4" t="s">
        <v>20</v>
      </c>
      <c r="F492" s="4">
        <v>60</v>
      </c>
      <c r="G492" s="4" t="str" cm="1">
        <f t="array" ref="G492">_xlfn.IFS(F492&lt;30,"Young Adult",F492&lt;50,"Adult",F492&gt;=50,"Senior")</f>
        <v>Senior</v>
      </c>
      <c r="H492" s="4" t="s">
        <v>24</v>
      </c>
      <c r="I492" s="4">
        <v>3</v>
      </c>
      <c r="J492" s="11">
        <v>300</v>
      </c>
      <c r="K492" s="13">
        <f>I492*J492</f>
        <v>900</v>
      </c>
      <c r="L492" s="19">
        <f t="shared" si="22"/>
        <v>13.5</v>
      </c>
      <c r="M492" s="19">
        <f t="shared" si="23"/>
        <v>18</v>
      </c>
      <c r="N492" s="13" cm="1">
        <f t="array" ref="N492">_xlfn.IFS(C492=2023,K492*$P$2,C492=2024,K492*$P$3)</f>
        <v>13.5</v>
      </c>
    </row>
    <row r="493" spans="1:14">
      <c r="A493" s="2">
        <v>492</v>
      </c>
      <c r="B493" s="3">
        <v>45106</v>
      </c>
      <c r="C493" s="4">
        <f t="shared" si="21"/>
        <v>2023</v>
      </c>
      <c r="D493" s="4" t="s">
        <v>539</v>
      </c>
      <c r="E493" s="4" t="s">
        <v>16</v>
      </c>
      <c r="F493" s="4">
        <v>61</v>
      </c>
      <c r="G493" s="4" t="str" cm="1">
        <f t="array" ref="G493">_xlfn.IFS(F493&lt;30,"Young Adult",F493&lt;50,"Adult",F493&gt;=50,"Senior")</f>
        <v>Senior</v>
      </c>
      <c r="H493" s="4" t="s">
        <v>17</v>
      </c>
      <c r="I493" s="4">
        <v>4</v>
      </c>
      <c r="J493" s="11">
        <v>25</v>
      </c>
      <c r="K493" s="13">
        <f>I493*J493</f>
        <v>100</v>
      </c>
      <c r="L493" s="19">
        <f t="shared" si="22"/>
        <v>1.5</v>
      </c>
      <c r="M493" s="19">
        <f t="shared" si="23"/>
        <v>2</v>
      </c>
      <c r="N493" s="13" cm="1">
        <f t="array" ref="N493">_xlfn.IFS(C493=2023,K493*$P$2,C493=2024,K493*$P$3)</f>
        <v>1.5</v>
      </c>
    </row>
    <row r="494" spans="1:14">
      <c r="A494" s="2">
        <v>493</v>
      </c>
      <c r="B494" s="3">
        <v>45255</v>
      </c>
      <c r="C494" s="4">
        <f t="shared" si="21"/>
        <v>2023</v>
      </c>
      <c r="D494" s="4" t="s">
        <v>540</v>
      </c>
      <c r="E494" s="4" t="s">
        <v>16</v>
      </c>
      <c r="F494" s="4">
        <v>41</v>
      </c>
      <c r="G494" s="4" t="str" cm="1">
        <f t="array" ref="G494">_xlfn.IFS(F494&lt;30,"Young Adult",F494&lt;50,"Adult",F494&gt;=50,"Senior")</f>
        <v>Adult</v>
      </c>
      <c r="H494" s="4" t="s">
        <v>17</v>
      </c>
      <c r="I494" s="4">
        <v>2</v>
      </c>
      <c r="J494" s="11">
        <v>25</v>
      </c>
      <c r="K494" s="13">
        <f>I494*J494</f>
        <v>50</v>
      </c>
      <c r="L494" s="19">
        <f t="shared" si="22"/>
        <v>0.75</v>
      </c>
      <c r="M494" s="19">
        <f t="shared" si="23"/>
        <v>1</v>
      </c>
      <c r="N494" s="13" cm="1">
        <f t="array" ref="N494">_xlfn.IFS(C494=2023,K494*$P$2,C494=2024,K494*$P$3)</f>
        <v>0.75</v>
      </c>
    </row>
    <row r="495" spans="1:14">
      <c r="A495" s="2">
        <v>494</v>
      </c>
      <c r="B495" s="3">
        <v>45187</v>
      </c>
      <c r="C495" s="4">
        <f t="shared" si="21"/>
        <v>2023</v>
      </c>
      <c r="D495" s="4" t="s">
        <v>541</v>
      </c>
      <c r="E495" s="4" t="s">
        <v>20</v>
      </c>
      <c r="F495" s="4">
        <v>42</v>
      </c>
      <c r="G495" s="4" t="str" cm="1">
        <f t="array" ref="G495">_xlfn.IFS(F495&lt;30,"Young Adult",F495&lt;50,"Adult",F495&gt;=50,"Senior")</f>
        <v>Adult</v>
      </c>
      <c r="H495" s="4" t="s">
        <v>17</v>
      </c>
      <c r="I495" s="4">
        <v>4</v>
      </c>
      <c r="J495" s="11">
        <v>50</v>
      </c>
      <c r="K495" s="13">
        <f>I495*J495</f>
        <v>200</v>
      </c>
      <c r="L495" s="19">
        <f t="shared" si="22"/>
        <v>3</v>
      </c>
      <c r="M495" s="19">
        <f t="shared" si="23"/>
        <v>4</v>
      </c>
      <c r="N495" s="13" cm="1">
        <f t="array" ref="N495">_xlfn.IFS(C495=2023,K495*$P$2,C495=2024,K495*$P$3)</f>
        <v>3</v>
      </c>
    </row>
    <row r="496" spans="1:14">
      <c r="A496" s="2">
        <v>495</v>
      </c>
      <c r="B496" s="3">
        <v>45131</v>
      </c>
      <c r="C496" s="4">
        <f t="shared" si="21"/>
        <v>2023</v>
      </c>
      <c r="D496" s="4" t="s">
        <v>542</v>
      </c>
      <c r="E496" s="4" t="s">
        <v>16</v>
      </c>
      <c r="F496" s="4">
        <v>24</v>
      </c>
      <c r="G496" s="4" t="str" cm="1">
        <f t="array" ref="G496">_xlfn.IFS(F496&lt;30,"Young Adult",F496&lt;50,"Adult",F496&gt;=50,"Senior")</f>
        <v>Young Adult</v>
      </c>
      <c r="H496" s="4" t="s">
        <v>17</v>
      </c>
      <c r="I496" s="4">
        <v>2</v>
      </c>
      <c r="J496" s="11">
        <v>30</v>
      </c>
      <c r="K496" s="13">
        <f>I496*J496</f>
        <v>60</v>
      </c>
      <c r="L496" s="19">
        <f t="shared" si="22"/>
        <v>0.89999999999999991</v>
      </c>
      <c r="M496" s="19">
        <f t="shared" si="23"/>
        <v>1.2</v>
      </c>
      <c r="N496" s="13" cm="1">
        <f t="array" ref="N496">_xlfn.IFS(C496=2023,K496*$P$2,C496=2024,K496*$P$3)</f>
        <v>0.89999999999999991</v>
      </c>
    </row>
    <row r="497" spans="1:14">
      <c r="A497" s="2">
        <v>496</v>
      </c>
      <c r="B497" s="3">
        <v>45274</v>
      </c>
      <c r="C497" s="4">
        <f t="shared" si="21"/>
        <v>2023</v>
      </c>
      <c r="D497" s="4" t="s">
        <v>543</v>
      </c>
      <c r="E497" s="4" t="s">
        <v>16</v>
      </c>
      <c r="F497" s="4">
        <v>23</v>
      </c>
      <c r="G497" s="4" t="str" cm="1">
        <f t="array" ref="G497">_xlfn.IFS(F497&lt;30,"Young Adult",F497&lt;50,"Adult",F497&gt;=50,"Senior")</f>
        <v>Young Adult</v>
      </c>
      <c r="H497" s="4" t="s">
        <v>21</v>
      </c>
      <c r="I497" s="4">
        <v>2</v>
      </c>
      <c r="J497" s="11">
        <v>300</v>
      </c>
      <c r="K497" s="13">
        <f>I497*J497</f>
        <v>600</v>
      </c>
      <c r="L497" s="19">
        <f t="shared" si="22"/>
        <v>9</v>
      </c>
      <c r="M497" s="19">
        <f t="shared" si="23"/>
        <v>12</v>
      </c>
      <c r="N497" s="13" cm="1">
        <f t="array" ref="N497">_xlfn.IFS(C497=2023,K497*$P$2,C497=2024,K497*$P$3)</f>
        <v>9</v>
      </c>
    </row>
    <row r="498" spans="1:14">
      <c r="A498" s="2">
        <v>497</v>
      </c>
      <c r="B498" s="3">
        <v>45201</v>
      </c>
      <c r="C498" s="4">
        <f t="shared" si="21"/>
        <v>2023</v>
      </c>
      <c r="D498" s="4" t="s">
        <v>544</v>
      </c>
      <c r="E498" s="4" t="s">
        <v>16</v>
      </c>
      <c r="F498" s="4">
        <v>41</v>
      </c>
      <c r="G498" s="4" t="str" cm="1">
        <f t="array" ref="G498">_xlfn.IFS(F498&lt;30,"Young Adult",F498&lt;50,"Adult",F498&gt;=50,"Senior")</f>
        <v>Adult</v>
      </c>
      <c r="H498" s="4" t="s">
        <v>21</v>
      </c>
      <c r="I498" s="4">
        <v>4</v>
      </c>
      <c r="J498" s="11">
        <v>30</v>
      </c>
      <c r="K498" s="13">
        <f>I498*J498</f>
        <v>120</v>
      </c>
      <c r="L498" s="19">
        <f t="shared" si="22"/>
        <v>1.7999999999999998</v>
      </c>
      <c r="M498" s="19">
        <f t="shared" si="23"/>
        <v>2.4</v>
      </c>
      <c r="N498" s="13" cm="1">
        <f t="array" ref="N498">_xlfn.IFS(C498=2023,K498*$P$2,C498=2024,K498*$P$3)</f>
        <v>1.7999999999999998</v>
      </c>
    </row>
    <row r="499" spans="1:14">
      <c r="A499" s="2">
        <v>498</v>
      </c>
      <c r="B499" s="3">
        <v>45096</v>
      </c>
      <c r="C499" s="4">
        <f t="shared" si="21"/>
        <v>2023</v>
      </c>
      <c r="D499" s="4" t="s">
        <v>545</v>
      </c>
      <c r="E499" s="4" t="s">
        <v>20</v>
      </c>
      <c r="F499" s="4">
        <v>50</v>
      </c>
      <c r="G499" s="4" t="str" cm="1">
        <f t="array" ref="G499">_xlfn.IFS(F499&lt;30,"Young Adult",F499&lt;50,"Adult",F499&gt;=50,"Senior")</f>
        <v>Senior</v>
      </c>
      <c r="H499" s="4" t="s">
        <v>21</v>
      </c>
      <c r="I499" s="4">
        <v>4</v>
      </c>
      <c r="J499" s="11">
        <v>25</v>
      </c>
      <c r="K499" s="13">
        <f>I499*J499</f>
        <v>100</v>
      </c>
      <c r="L499" s="19">
        <f t="shared" si="22"/>
        <v>1.5</v>
      </c>
      <c r="M499" s="19">
        <f t="shared" si="23"/>
        <v>2</v>
      </c>
      <c r="N499" s="13" cm="1">
        <f t="array" ref="N499">_xlfn.IFS(C499=2023,K499*$P$2,C499=2024,K499*$P$3)</f>
        <v>1.5</v>
      </c>
    </row>
    <row r="500" spans="1:14">
      <c r="A500" s="2">
        <v>499</v>
      </c>
      <c r="B500" s="3">
        <v>44941</v>
      </c>
      <c r="C500" s="4">
        <f t="shared" si="21"/>
        <v>2023</v>
      </c>
      <c r="D500" s="4" t="s">
        <v>546</v>
      </c>
      <c r="E500" s="4" t="s">
        <v>16</v>
      </c>
      <c r="F500" s="4">
        <v>46</v>
      </c>
      <c r="G500" s="4" t="str" cm="1">
        <f t="array" ref="G500">_xlfn.IFS(F500&lt;30,"Young Adult",F500&lt;50,"Adult",F500&gt;=50,"Senior")</f>
        <v>Adult</v>
      </c>
      <c r="H500" s="4" t="s">
        <v>17</v>
      </c>
      <c r="I500" s="4">
        <v>2</v>
      </c>
      <c r="J500" s="11">
        <v>30</v>
      </c>
      <c r="K500" s="13">
        <f>I500*J500</f>
        <v>60</v>
      </c>
      <c r="L500" s="19">
        <f t="shared" si="22"/>
        <v>0.89999999999999991</v>
      </c>
      <c r="M500" s="19">
        <f t="shared" si="23"/>
        <v>1.2</v>
      </c>
      <c r="N500" s="13" cm="1">
        <f t="array" ref="N500">_xlfn.IFS(C500=2023,K500*$P$2,C500=2024,K500*$P$3)</f>
        <v>0.89999999999999991</v>
      </c>
    </row>
    <row r="501" spans="1:14">
      <c r="A501" s="2">
        <v>500</v>
      </c>
      <c r="B501" s="3">
        <v>44986</v>
      </c>
      <c r="C501" s="4">
        <f t="shared" si="21"/>
        <v>2023</v>
      </c>
      <c r="D501" s="4" t="s">
        <v>547</v>
      </c>
      <c r="E501" s="4" t="s">
        <v>20</v>
      </c>
      <c r="F501" s="4">
        <v>60</v>
      </c>
      <c r="G501" s="4" t="str" cm="1">
        <f t="array" ref="G501">_xlfn.IFS(F501&lt;30,"Young Adult",F501&lt;50,"Adult",F501&gt;=50,"Senior")</f>
        <v>Senior</v>
      </c>
      <c r="H501" s="4" t="s">
        <v>17</v>
      </c>
      <c r="I501" s="4">
        <v>4</v>
      </c>
      <c r="J501" s="11">
        <v>25</v>
      </c>
      <c r="K501" s="13">
        <f>I501*J501</f>
        <v>100</v>
      </c>
      <c r="L501" s="19">
        <f t="shared" si="22"/>
        <v>1.5</v>
      </c>
      <c r="M501" s="19">
        <f t="shared" si="23"/>
        <v>2</v>
      </c>
      <c r="N501" s="13" cm="1">
        <f t="array" ref="N501">_xlfn.IFS(C501=2023,K501*$P$2,C501=2024,K501*$P$3)</f>
        <v>1.5</v>
      </c>
    </row>
    <row r="502" spans="1:14">
      <c r="A502" s="2">
        <v>501</v>
      </c>
      <c r="B502" s="3">
        <v>45060</v>
      </c>
      <c r="C502" s="4">
        <f t="shared" si="21"/>
        <v>2023</v>
      </c>
      <c r="D502" s="4" t="s">
        <v>548</v>
      </c>
      <c r="E502" s="4" t="s">
        <v>16</v>
      </c>
      <c r="F502" s="4">
        <v>39</v>
      </c>
      <c r="G502" s="4" t="str" cm="1">
        <f t="array" ref="G502">_xlfn.IFS(F502&lt;30,"Young Adult",F502&lt;50,"Adult",F502&gt;=50,"Senior")</f>
        <v>Adult</v>
      </c>
      <c r="H502" s="4" t="s">
        <v>24</v>
      </c>
      <c r="I502" s="4">
        <v>2</v>
      </c>
      <c r="J502" s="11">
        <v>30</v>
      </c>
      <c r="K502" s="13">
        <f>I502*J502</f>
        <v>60</v>
      </c>
      <c r="L502" s="19">
        <f t="shared" si="22"/>
        <v>0.89999999999999991</v>
      </c>
      <c r="M502" s="19">
        <f t="shared" si="23"/>
        <v>1.2</v>
      </c>
      <c r="N502" s="13" cm="1">
        <f t="array" ref="N502">_xlfn.IFS(C502=2023,K502*$P$2,C502=2024,K502*$P$3)</f>
        <v>0.89999999999999991</v>
      </c>
    </row>
    <row r="503" spans="1:14">
      <c r="A503" s="2">
        <v>502</v>
      </c>
      <c r="B503" s="3">
        <v>45018</v>
      </c>
      <c r="C503" s="4">
        <f t="shared" si="21"/>
        <v>2023</v>
      </c>
      <c r="D503" s="4" t="s">
        <v>549</v>
      </c>
      <c r="E503" s="4" t="s">
        <v>16</v>
      </c>
      <c r="F503" s="4">
        <v>43</v>
      </c>
      <c r="G503" s="4" t="str" cm="1">
        <f t="array" ref="G503">_xlfn.IFS(F503&lt;30,"Young Adult",F503&lt;50,"Adult",F503&gt;=50,"Senior")</f>
        <v>Adult</v>
      </c>
      <c r="H503" s="4" t="s">
        <v>24</v>
      </c>
      <c r="I503" s="4">
        <v>3</v>
      </c>
      <c r="J503" s="11">
        <v>50</v>
      </c>
      <c r="K503" s="13">
        <f>I503*J503</f>
        <v>150</v>
      </c>
      <c r="L503" s="19">
        <f t="shared" si="22"/>
        <v>2.25</v>
      </c>
      <c r="M503" s="19">
        <f t="shared" si="23"/>
        <v>3</v>
      </c>
      <c r="N503" s="13" cm="1">
        <f t="array" ref="N503">_xlfn.IFS(C503=2023,K503*$P$2,C503=2024,K503*$P$3)</f>
        <v>2.25</v>
      </c>
    </row>
    <row r="504" spans="1:14">
      <c r="A504" s="2">
        <v>503</v>
      </c>
      <c r="B504" s="3">
        <v>45224</v>
      </c>
      <c r="C504" s="4">
        <f t="shared" si="21"/>
        <v>2023</v>
      </c>
      <c r="D504" s="4" t="s">
        <v>550</v>
      </c>
      <c r="E504" s="4" t="s">
        <v>16</v>
      </c>
      <c r="F504" s="4">
        <v>45</v>
      </c>
      <c r="G504" s="4" t="str" cm="1">
        <f t="array" ref="G504">_xlfn.IFS(F504&lt;30,"Young Adult",F504&lt;50,"Adult",F504&gt;=50,"Senior")</f>
        <v>Adult</v>
      </c>
      <c r="H504" s="4" t="s">
        <v>17</v>
      </c>
      <c r="I504" s="4">
        <v>4</v>
      </c>
      <c r="J504" s="11">
        <v>500</v>
      </c>
      <c r="K504" s="13">
        <f>I504*J504</f>
        <v>2000</v>
      </c>
      <c r="L504" s="19">
        <f t="shared" si="22"/>
        <v>30</v>
      </c>
      <c r="M504" s="19">
        <f t="shared" si="23"/>
        <v>40</v>
      </c>
      <c r="N504" s="13" cm="1">
        <f t="array" ref="N504">_xlfn.IFS(C504=2023,K504*$P$2,C504=2024,K504*$P$3)</f>
        <v>30</v>
      </c>
    </row>
    <row r="505" spans="1:14">
      <c r="A505" s="2">
        <v>504</v>
      </c>
      <c r="B505" s="3">
        <v>45062</v>
      </c>
      <c r="C505" s="4">
        <f t="shared" si="21"/>
        <v>2023</v>
      </c>
      <c r="D505" s="4" t="s">
        <v>551</v>
      </c>
      <c r="E505" s="4" t="s">
        <v>20</v>
      </c>
      <c r="F505" s="4">
        <v>38</v>
      </c>
      <c r="G505" s="4" t="str" cm="1">
        <f t="array" ref="G505">_xlfn.IFS(F505&lt;30,"Young Adult",F505&lt;50,"Adult",F505&gt;=50,"Senior")</f>
        <v>Adult</v>
      </c>
      <c r="H505" s="4" t="s">
        <v>17</v>
      </c>
      <c r="I505" s="4">
        <v>3</v>
      </c>
      <c r="J505" s="11">
        <v>50</v>
      </c>
      <c r="K505" s="13">
        <f>I505*J505</f>
        <v>150</v>
      </c>
      <c r="L505" s="19">
        <f t="shared" si="22"/>
        <v>2.25</v>
      </c>
      <c r="M505" s="19">
        <f t="shared" si="23"/>
        <v>3</v>
      </c>
      <c r="N505" s="13" cm="1">
        <f t="array" ref="N505">_xlfn.IFS(C505=2023,K505*$P$2,C505=2024,K505*$P$3)</f>
        <v>2.25</v>
      </c>
    </row>
    <row r="506" spans="1:14">
      <c r="A506" s="2">
        <v>505</v>
      </c>
      <c r="B506" s="3">
        <v>44946</v>
      </c>
      <c r="C506" s="4">
        <f t="shared" si="21"/>
        <v>2023</v>
      </c>
      <c r="D506" s="4" t="s">
        <v>552</v>
      </c>
      <c r="E506" s="4" t="s">
        <v>16</v>
      </c>
      <c r="F506" s="4">
        <v>24</v>
      </c>
      <c r="G506" s="4" t="str" cm="1">
        <f t="array" ref="G506">_xlfn.IFS(F506&lt;30,"Young Adult",F506&lt;50,"Adult",F506&gt;=50,"Senior")</f>
        <v>Young Adult</v>
      </c>
      <c r="H506" s="4" t="s">
        <v>17</v>
      </c>
      <c r="I506" s="4">
        <v>1</v>
      </c>
      <c r="J506" s="11">
        <v>50</v>
      </c>
      <c r="K506" s="13">
        <f>I506*J506</f>
        <v>50</v>
      </c>
      <c r="L506" s="19">
        <f t="shared" si="22"/>
        <v>0.75</v>
      </c>
      <c r="M506" s="19">
        <f t="shared" si="23"/>
        <v>1</v>
      </c>
      <c r="N506" s="13" cm="1">
        <f t="array" ref="N506">_xlfn.IFS(C506=2023,K506*$P$2,C506=2024,K506*$P$3)</f>
        <v>0.75</v>
      </c>
    </row>
    <row r="507" spans="1:14">
      <c r="A507" s="2">
        <v>506</v>
      </c>
      <c r="B507" s="3">
        <v>44982</v>
      </c>
      <c r="C507" s="4">
        <f t="shared" si="21"/>
        <v>2023</v>
      </c>
      <c r="D507" s="4" t="s">
        <v>553</v>
      </c>
      <c r="E507" s="4" t="s">
        <v>16</v>
      </c>
      <c r="F507" s="4">
        <v>34</v>
      </c>
      <c r="G507" s="4" t="str" cm="1">
        <f t="array" ref="G507">_xlfn.IFS(F507&lt;30,"Young Adult",F507&lt;50,"Adult",F507&gt;=50,"Senior")</f>
        <v>Adult</v>
      </c>
      <c r="H507" s="4" t="s">
        <v>17</v>
      </c>
      <c r="I507" s="4">
        <v>3</v>
      </c>
      <c r="J507" s="11">
        <v>500</v>
      </c>
      <c r="K507" s="13">
        <f>I507*J507</f>
        <v>1500</v>
      </c>
      <c r="L507" s="19">
        <f t="shared" si="22"/>
        <v>22.5</v>
      </c>
      <c r="M507" s="19">
        <f t="shared" si="23"/>
        <v>30</v>
      </c>
      <c r="N507" s="13" cm="1">
        <f t="array" ref="N507">_xlfn.IFS(C507=2023,K507*$P$2,C507=2024,K507*$P$3)</f>
        <v>22.5</v>
      </c>
    </row>
    <row r="508" spans="1:14">
      <c r="A508" s="2">
        <v>507</v>
      </c>
      <c r="B508" s="3">
        <v>45232</v>
      </c>
      <c r="C508" s="4">
        <f t="shared" si="21"/>
        <v>2023</v>
      </c>
      <c r="D508" s="4" t="s">
        <v>554</v>
      </c>
      <c r="E508" s="4" t="s">
        <v>20</v>
      </c>
      <c r="F508" s="4">
        <v>37</v>
      </c>
      <c r="G508" s="4" t="str" cm="1">
        <f t="array" ref="G508">_xlfn.IFS(F508&lt;30,"Young Adult",F508&lt;50,"Adult",F508&gt;=50,"Senior")</f>
        <v>Adult</v>
      </c>
      <c r="H508" s="4" t="s">
        <v>24</v>
      </c>
      <c r="I508" s="4">
        <v>3</v>
      </c>
      <c r="J508" s="11">
        <v>500</v>
      </c>
      <c r="K508" s="13">
        <f>I508*J508</f>
        <v>1500</v>
      </c>
      <c r="L508" s="19">
        <f t="shared" si="22"/>
        <v>22.5</v>
      </c>
      <c r="M508" s="19">
        <f t="shared" si="23"/>
        <v>30</v>
      </c>
      <c r="N508" s="13" cm="1">
        <f t="array" ref="N508">_xlfn.IFS(C508=2023,K508*$P$2,C508=2024,K508*$P$3)</f>
        <v>22.5</v>
      </c>
    </row>
    <row r="509" spans="1:14">
      <c r="A509" s="2">
        <v>508</v>
      </c>
      <c r="B509" s="3">
        <v>45149</v>
      </c>
      <c r="C509" s="4">
        <f t="shared" si="21"/>
        <v>2023</v>
      </c>
      <c r="D509" s="4" t="s">
        <v>555</v>
      </c>
      <c r="E509" s="4" t="s">
        <v>16</v>
      </c>
      <c r="F509" s="4">
        <v>58</v>
      </c>
      <c r="G509" s="4" t="str" cm="1">
        <f t="array" ref="G509">_xlfn.IFS(F509&lt;30,"Young Adult",F509&lt;50,"Adult",F509&gt;=50,"Senior")</f>
        <v>Senior</v>
      </c>
      <c r="H509" s="4" t="s">
        <v>17</v>
      </c>
      <c r="I509" s="4">
        <v>2</v>
      </c>
      <c r="J509" s="11">
        <v>300</v>
      </c>
      <c r="K509" s="13">
        <f>I509*J509</f>
        <v>600</v>
      </c>
      <c r="L509" s="19">
        <f t="shared" si="22"/>
        <v>9</v>
      </c>
      <c r="M509" s="19">
        <f t="shared" si="23"/>
        <v>12</v>
      </c>
      <c r="N509" s="13" cm="1">
        <f t="array" ref="N509">_xlfn.IFS(C509=2023,K509*$P$2,C509=2024,K509*$P$3)</f>
        <v>9</v>
      </c>
    </row>
    <row r="510" spans="1:14">
      <c r="A510" s="2">
        <v>509</v>
      </c>
      <c r="B510" s="3">
        <v>45103</v>
      </c>
      <c r="C510" s="4">
        <f t="shared" si="21"/>
        <v>2023</v>
      </c>
      <c r="D510" s="4" t="s">
        <v>556</v>
      </c>
      <c r="E510" s="4" t="s">
        <v>20</v>
      </c>
      <c r="F510" s="4">
        <v>37</v>
      </c>
      <c r="G510" s="4" t="str" cm="1">
        <f t="array" ref="G510">_xlfn.IFS(F510&lt;30,"Young Adult",F510&lt;50,"Adult",F510&gt;=50,"Senior")</f>
        <v>Adult</v>
      </c>
      <c r="H510" s="4" t="s">
        <v>24</v>
      </c>
      <c r="I510" s="4">
        <v>3</v>
      </c>
      <c r="J510" s="11">
        <v>300</v>
      </c>
      <c r="K510" s="13">
        <f>I510*J510</f>
        <v>900</v>
      </c>
      <c r="L510" s="19">
        <f t="shared" si="22"/>
        <v>13.5</v>
      </c>
      <c r="M510" s="19">
        <f t="shared" si="23"/>
        <v>18</v>
      </c>
      <c r="N510" s="13" cm="1">
        <f t="array" ref="N510">_xlfn.IFS(C510=2023,K510*$P$2,C510=2024,K510*$P$3)</f>
        <v>13.5</v>
      </c>
    </row>
    <row r="511" spans="1:14">
      <c r="A511" s="2">
        <v>510</v>
      </c>
      <c r="B511" s="3">
        <v>45087</v>
      </c>
      <c r="C511" s="4">
        <f t="shared" si="21"/>
        <v>2023</v>
      </c>
      <c r="D511" s="4" t="s">
        <v>557</v>
      </c>
      <c r="E511" s="4" t="s">
        <v>20</v>
      </c>
      <c r="F511" s="4">
        <v>39</v>
      </c>
      <c r="G511" s="4" t="str" cm="1">
        <f t="array" ref="G511">_xlfn.IFS(F511&lt;30,"Young Adult",F511&lt;50,"Adult",F511&gt;=50,"Senior")</f>
        <v>Adult</v>
      </c>
      <c r="H511" s="4" t="s">
        <v>17</v>
      </c>
      <c r="I511" s="4">
        <v>4</v>
      </c>
      <c r="J511" s="11">
        <v>50</v>
      </c>
      <c r="K511" s="13">
        <f>I511*J511</f>
        <v>200</v>
      </c>
      <c r="L511" s="19">
        <f t="shared" si="22"/>
        <v>3</v>
      </c>
      <c r="M511" s="19">
        <f t="shared" si="23"/>
        <v>4</v>
      </c>
      <c r="N511" s="13" cm="1">
        <f t="array" ref="N511">_xlfn.IFS(C511=2023,K511*$P$2,C511=2024,K511*$P$3)</f>
        <v>3</v>
      </c>
    </row>
    <row r="512" spans="1:14">
      <c r="A512" s="2">
        <v>511</v>
      </c>
      <c r="B512" s="3">
        <v>45150</v>
      </c>
      <c r="C512" s="4">
        <f t="shared" si="21"/>
        <v>2023</v>
      </c>
      <c r="D512" s="4" t="s">
        <v>558</v>
      </c>
      <c r="E512" s="4" t="s">
        <v>16</v>
      </c>
      <c r="F512" s="4">
        <v>45</v>
      </c>
      <c r="G512" s="4" t="str" cm="1">
        <f t="array" ref="G512">_xlfn.IFS(F512&lt;30,"Young Adult",F512&lt;50,"Adult",F512&gt;=50,"Senior")</f>
        <v>Adult</v>
      </c>
      <c r="H512" s="4" t="s">
        <v>17</v>
      </c>
      <c r="I512" s="4">
        <v>2</v>
      </c>
      <c r="J512" s="11">
        <v>50</v>
      </c>
      <c r="K512" s="13">
        <f>I512*J512</f>
        <v>100</v>
      </c>
      <c r="L512" s="19">
        <f t="shared" si="22"/>
        <v>1.5</v>
      </c>
      <c r="M512" s="19">
        <f t="shared" si="23"/>
        <v>2</v>
      </c>
      <c r="N512" s="13" cm="1">
        <f t="array" ref="N512">_xlfn.IFS(C512=2023,K512*$P$2,C512=2024,K512*$P$3)</f>
        <v>1.5</v>
      </c>
    </row>
    <row r="513" spans="1:14">
      <c r="A513" s="2">
        <v>512</v>
      </c>
      <c r="B513" s="3">
        <v>45237</v>
      </c>
      <c r="C513" s="4">
        <f t="shared" si="21"/>
        <v>2023</v>
      </c>
      <c r="D513" s="4" t="s">
        <v>559</v>
      </c>
      <c r="E513" s="4" t="s">
        <v>20</v>
      </c>
      <c r="F513" s="4">
        <v>57</v>
      </c>
      <c r="G513" s="4" t="str" cm="1">
        <f t="array" ref="G513">_xlfn.IFS(F513&lt;30,"Young Adult",F513&lt;50,"Adult",F513&gt;=50,"Senior")</f>
        <v>Senior</v>
      </c>
      <c r="H513" s="4" t="s">
        <v>17</v>
      </c>
      <c r="I513" s="4">
        <v>1</v>
      </c>
      <c r="J513" s="11">
        <v>25</v>
      </c>
      <c r="K513" s="13">
        <f>I513*J513</f>
        <v>25</v>
      </c>
      <c r="L513" s="19">
        <f t="shared" si="22"/>
        <v>0.375</v>
      </c>
      <c r="M513" s="19">
        <f t="shared" si="23"/>
        <v>0.5</v>
      </c>
      <c r="N513" s="13" cm="1">
        <f t="array" ref="N513">_xlfn.IFS(C513=2023,K513*$P$2,C513=2024,K513*$P$3)</f>
        <v>0.375</v>
      </c>
    </row>
    <row r="514" spans="1:14">
      <c r="A514" s="2">
        <v>513</v>
      </c>
      <c r="B514" s="3">
        <v>45188</v>
      </c>
      <c r="C514" s="4">
        <f t="shared" si="21"/>
        <v>2023</v>
      </c>
      <c r="D514" s="4" t="s">
        <v>560</v>
      </c>
      <c r="E514" s="4" t="s">
        <v>16</v>
      </c>
      <c r="F514" s="4">
        <v>24</v>
      </c>
      <c r="G514" s="4" t="str" cm="1">
        <f t="array" ref="G514">_xlfn.IFS(F514&lt;30,"Young Adult",F514&lt;50,"Adult",F514&gt;=50,"Senior")</f>
        <v>Young Adult</v>
      </c>
      <c r="H514" s="4" t="s">
        <v>24</v>
      </c>
      <c r="I514" s="4">
        <v>4</v>
      </c>
      <c r="J514" s="11">
        <v>25</v>
      </c>
      <c r="K514" s="13">
        <f>I514*J514</f>
        <v>100</v>
      </c>
      <c r="L514" s="19">
        <f t="shared" si="22"/>
        <v>1.5</v>
      </c>
      <c r="M514" s="19">
        <f t="shared" si="23"/>
        <v>2</v>
      </c>
      <c r="N514" s="13" cm="1">
        <f t="array" ref="N514">_xlfn.IFS(C514=2023,K514*$P$2,C514=2024,K514*$P$3)</f>
        <v>1.5</v>
      </c>
    </row>
    <row r="515" spans="1:14">
      <c r="A515" s="2">
        <v>514</v>
      </c>
      <c r="B515" s="3">
        <v>44986</v>
      </c>
      <c r="C515" s="4">
        <f t="shared" ref="C515:C578" si="24">YEAR(B515)</f>
        <v>2023</v>
      </c>
      <c r="D515" s="4" t="s">
        <v>561</v>
      </c>
      <c r="E515" s="4" t="s">
        <v>20</v>
      </c>
      <c r="F515" s="4">
        <v>18</v>
      </c>
      <c r="G515" s="4" t="str" cm="1">
        <f t="array" ref="G515">_xlfn.IFS(F515&lt;30,"Young Adult",F515&lt;50,"Adult",F515&gt;=50,"Senior")</f>
        <v>Young Adult</v>
      </c>
      <c r="H515" s="4" t="s">
        <v>24</v>
      </c>
      <c r="I515" s="4">
        <v>1</v>
      </c>
      <c r="J515" s="11">
        <v>300</v>
      </c>
      <c r="K515" s="13">
        <f>I515*J515</f>
        <v>300</v>
      </c>
      <c r="L515" s="19">
        <f t="shared" ref="L515:L578" si="25">K515*$P$2</f>
        <v>4.5</v>
      </c>
      <c r="M515" s="19">
        <f t="shared" ref="M515:M578" si="26">K515*$P$3</f>
        <v>6</v>
      </c>
      <c r="N515" s="13" cm="1">
        <f t="array" ref="N515">_xlfn.IFS(C515=2023,K515*$P$2,C515=2024,K515*$P$3)</f>
        <v>4.5</v>
      </c>
    </row>
    <row r="516" spans="1:14">
      <c r="A516" s="2">
        <v>515</v>
      </c>
      <c r="B516" s="3">
        <v>45124</v>
      </c>
      <c r="C516" s="4">
        <f t="shared" si="24"/>
        <v>2023</v>
      </c>
      <c r="D516" s="4" t="s">
        <v>562</v>
      </c>
      <c r="E516" s="4" t="s">
        <v>20</v>
      </c>
      <c r="F516" s="4">
        <v>49</v>
      </c>
      <c r="G516" s="4" t="str" cm="1">
        <f t="array" ref="G516">_xlfn.IFS(F516&lt;30,"Young Adult",F516&lt;50,"Adult",F516&gt;=50,"Senior")</f>
        <v>Adult</v>
      </c>
      <c r="H516" s="4" t="s">
        <v>21</v>
      </c>
      <c r="I516" s="4">
        <v>3</v>
      </c>
      <c r="J516" s="11">
        <v>300</v>
      </c>
      <c r="K516" s="13">
        <f>I516*J516</f>
        <v>900</v>
      </c>
      <c r="L516" s="19">
        <f t="shared" si="25"/>
        <v>13.5</v>
      </c>
      <c r="M516" s="19">
        <f t="shared" si="26"/>
        <v>18</v>
      </c>
      <c r="N516" s="13" cm="1">
        <f t="array" ref="N516">_xlfn.IFS(C516=2023,K516*$P$2,C516=2024,K516*$P$3)</f>
        <v>13.5</v>
      </c>
    </row>
    <row r="517" spans="1:14">
      <c r="A517" s="2">
        <v>516</v>
      </c>
      <c r="B517" s="3">
        <v>45222</v>
      </c>
      <c r="C517" s="4">
        <f t="shared" si="24"/>
        <v>2023</v>
      </c>
      <c r="D517" s="4" t="s">
        <v>563</v>
      </c>
      <c r="E517" s="4" t="s">
        <v>16</v>
      </c>
      <c r="F517" s="4">
        <v>30</v>
      </c>
      <c r="G517" s="4" t="str" cm="1">
        <f t="array" ref="G517">_xlfn.IFS(F517&lt;30,"Young Adult",F517&lt;50,"Adult",F517&gt;=50,"Senior")</f>
        <v>Adult</v>
      </c>
      <c r="H517" s="4" t="s">
        <v>17</v>
      </c>
      <c r="I517" s="4">
        <v>4</v>
      </c>
      <c r="J517" s="11">
        <v>25</v>
      </c>
      <c r="K517" s="13">
        <f>I517*J517</f>
        <v>100</v>
      </c>
      <c r="L517" s="19">
        <f t="shared" si="25"/>
        <v>1.5</v>
      </c>
      <c r="M517" s="19">
        <f t="shared" si="26"/>
        <v>2</v>
      </c>
      <c r="N517" s="13" cm="1">
        <f t="array" ref="N517">_xlfn.IFS(C517=2023,K517*$P$2,C517=2024,K517*$P$3)</f>
        <v>1.5</v>
      </c>
    </row>
    <row r="518" spans="1:14">
      <c r="A518" s="2">
        <v>517</v>
      </c>
      <c r="B518" s="3">
        <v>45024</v>
      </c>
      <c r="C518" s="4">
        <f t="shared" si="24"/>
        <v>2023</v>
      </c>
      <c r="D518" s="4" t="s">
        <v>564</v>
      </c>
      <c r="E518" s="4" t="s">
        <v>20</v>
      </c>
      <c r="F518" s="4">
        <v>47</v>
      </c>
      <c r="G518" s="4" t="str" cm="1">
        <f t="array" ref="G518">_xlfn.IFS(F518&lt;30,"Young Adult",F518&lt;50,"Adult",F518&gt;=50,"Senior")</f>
        <v>Adult</v>
      </c>
      <c r="H518" s="4" t="s">
        <v>21</v>
      </c>
      <c r="I518" s="4">
        <v>4</v>
      </c>
      <c r="J518" s="11">
        <v>25</v>
      </c>
      <c r="K518" s="13">
        <f>I518*J518</f>
        <v>100</v>
      </c>
      <c r="L518" s="19">
        <f t="shared" si="25"/>
        <v>1.5</v>
      </c>
      <c r="M518" s="19">
        <f t="shared" si="26"/>
        <v>2</v>
      </c>
      <c r="N518" s="13" cm="1">
        <f t="array" ref="N518">_xlfn.IFS(C518=2023,K518*$P$2,C518=2024,K518*$P$3)</f>
        <v>1.5</v>
      </c>
    </row>
    <row r="519" spans="1:14">
      <c r="A519" s="2">
        <v>518</v>
      </c>
      <c r="B519" s="3">
        <v>45057</v>
      </c>
      <c r="C519" s="4">
        <f t="shared" si="24"/>
        <v>2023</v>
      </c>
      <c r="D519" s="4" t="s">
        <v>565</v>
      </c>
      <c r="E519" s="4" t="s">
        <v>20</v>
      </c>
      <c r="F519" s="4">
        <v>40</v>
      </c>
      <c r="G519" s="4" t="str" cm="1">
        <f t="array" ref="G519">_xlfn.IFS(F519&lt;30,"Young Adult",F519&lt;50,"Adult",F519&gt;=50,"Senior")</f>
        <v>Adult</v>
      </c>
      <c r="H519" s="4" t="s">
        <v>21</v>
      </c>
      <c r="I519" s="4">
        <v>1</v>
      </c>
      <c r="J519" s="11">
        <v>30</v>
      </c>
      <c r="K519" s="13">
        <f>I519*J519</f>
        <v>30</v>
      </c>
      <c r="L519" s="19">
        <f t="shared" si="25"/>
        <v>0.44999999999999996</v>
      </c>
      <c r="M519" s="19">
        <f t="shared" si="26"/>
        <v>0.6</v>
      </c>
      <c r="N519" s="13" cm="1">
        <f t="array" ref="N519">_xlfn.IFS(C519=2023,K519*$P$2,C519=2024,K519*$P$3)</f>
        <v>0.44999999999999996</v>
      </c>
    </row>
    <row r="520" spans="1:14">
      <c r="A520" s="2">
        <v>519</v>
      </c>
      <c r="B520" s="3">
        <v>44949</v>
      </c>
      <c r="C520" s="4">
        <f t="shared" si="24"/>
        <v>2023</v>
      </c>
      <c r="D520" s="4" t="s">
        <v>566</v>
      </c>
      <c r="E520" s="4" t="s">
        <v>20</v>
      </c>
      <c r="F520" s="4">
        <v>36</v>
      </c>
      <c r="G520" s="4" t="str" cm="1">
        <f t="array" ref="G520">_xlfn.IFS(F520&lt;30,"Young Adult",F520&lt;50,"Adult",F520&gt;=50,"Senior")</f>
        <v>Adult</v>
      </c>
      <c r="H520" s="4" t="s">
        <v>24</v>
      </c>
      <c r="I520" s="4">
        <v>4</v>
      </c>
      <c r="J520" s="11">
        <v>30</v>
      </c>
      <c r="K520" s="13">
        <f>I520*J520</f>
        <v>120</v>
      </c>
      <c r="L520" s="19">
        <f t="shared" si="25"/>
        <v>1.7999999999999998</v>
      </c>
      <c r="M520" s="19">
        <f t="shared" si="26"/>
        <v>2.4</v>
      </c>
      <c r="N520" s="13" cm="1">
        <f t="array" ref="N520">_xlfn.IFS(C520=2023,K520*$P$2,C520=2024,K520*$P$3)</f>
        <v>1.7999999999999998</v>
      </c>
    </row>
    <row r="521" spans="1:14">
      <c r="A521" s="2">
        <v>520</v>
      </c>
      <c r="B521" s="3">
        <v>45289</v>
      </c>
      <c r="C521" s="4">
        <f t="shared" si="24"/>
        <v>2023</v>
      </c>
      <c r="D521" s="4" t="s">
        <v>567</v>
      </c>
      <c r="E521" s="4" t="s">
        <v>20</v>
      </c>
      <c r="F521" s="4">
        <v>49</v>
      </c>
      <c r="G521" s="4" t="str" cm="1">
        <f t="array" ref="G521">_xlfn.IFS(F521&lt;30,"Young Adult",F521&lt;50,"Adult",F521&gt;=50,"Senior")</f>
        <v>Adult</v>
      </c>
      <c r="H521" s="4" t="s">
        <v>24</v>
      </c>
      <c r="I521" s="4">
        <v>4</v>
      </c>
      <c r="J521" s="11">
        <v>25</v>
      </c>
      <c r="K521" s="13">
        <f>I521*J521</f>
        <v>100</v>
      </c>
      <c r="L521" s="19">
        <f t="shared" si="25"/>
        <v>1.5</v>
      </c>
      <c r="M521" s="19">
        <f t="shared" si="26"/>
        <v>2</v>
      </c>
      <c r="N521" s="13" cm="1">
        <f t="array" ref="N521">_xlfn.IFS(C521=2023,K521*$P$2,C521=2024,K521*$P$3)</f>
        <v>1.5</v>
      </c>
    </row>
    <row r="522" spans="1:14">
      <c r="A522" s="2">
        <v>521</v>
      </c>
      <c r="B522" s="3">
        <v>45150</v>
      </c>
      <c r="C522" s="4">
        <f t="shared" si="24"/>
        <v>2023</v>
      </c>
      <c r="D522" s="4" t="s">
        <v>568</v>
      </c>
      <c r="E522" s="4" t="s">
        <v>20</v>
      </c>
      <c r="F522" s="4">
        <v>47</v>
      </c>
      <c r="G522" s="4" t="str" cm="1">
        <f t="array" ref="G522">_xlfn.IFS(F522&lt;30,"Young Adult",F522&lt;50,"Adult",F522&gt;=50,"Senior")</f>
        <v>Adult</v>
      </c>
      <c r="H522" s="4" t="s">
        <v>21</v>
      </c>
      <c r="I522" s="4">
        <v>4</v>
      </c>
      <c r="J522" s="11">
        <v>30</v>
      </c>
      <c r="K522" s="13">
        <f>I522*J522</f>
        <v>120</v>
      </c>
      <c r="L522" s="19">
        <f t="shared" si="25"/>
        <v>1.7999999999999998</v>
      </c>
      <c r="M522" s="19">
        <f t="shared" si="26"/>
        <v>2.4</v>
      </c>
      <c r="N522" s="13" cm="1">
        <f t="array" ref="N522">_xlfn.IFS(C522=2023,K522*$P$2,C522=2024,K522*$P$3)</f>
        <v>1.7999999999999998</v>
      </c>
    </row>
    <row r="523" spans="1:14">
      <c r="A523" s="2">
        <v>522</v>
      </c>
      <c r="B523" s="3">
        <v>44927</v>
      </c>
      <c r="C523" s="4">
        <f t="shared" si="24"/>
        <v>2023</v>
      </c>
      <c r="D523" s="4" t="s">
        <v>569</v>
      </c>
      <c r="E523" s="4" t="s">
        <v>16</v>
      </c>
      <c r="F523" s="4">
        <v>46</v>
      </c>
      <c r="G523" s="4" t="str" cm="1">
        <f t="array" ref="G523">_xlfn.IFS(F523&lt;30,"Young Adult",F523&lt;50,"Adult",F523&gt;=50,"Senior")</f>
        <v>Adult</v>
      </c>
      <c r="H523" s="4" t="s">
        <v>17</v>
      </c>
      <c r="I523" s="4">
        <v>3</v>
      </c>
      <c r="J523" s="11">
        <v>500</v>
      </c>
      <c r="K523" s="13">
        <f>I523*J523</f>
        <v>1500</v>
      </c>
      <c r="L523" s="19">
        <f t="shared" si="25"/>
        <v>22.5</v>
      </c>
      <c r="M523" s="19">
        <f t="shared" si="26"/>
        <v>30</v>
      </c>
      <c r="N523" s="13" cm="1">
        <f t="array" ref="N523">_xlfn.IFS(C523=2023,K523*$P$2,C523=2024,K523*$P$3)</f>
        <v>22.5</v>
      </c>
    </row>
    <row r="524" spans="1:14">
      <c r="A524" s="2">
        <v>523</v>
      </c>
      <c r="B524" s="3">
        <v>45193</v>
      </c>
      <c r="C524" s="4">
        <f t="shared" si="24"/>
        <v>2023</v>
      </c>
      <c r="D524" s="4" t="s">
        <v>570</v>
      </c>
      <c r="E524" s="4" t="s">
        <v>20</v>
      </c>
      <c r="F524" s="4">
        <v>62</v>
      </c>
      <c r="G524" s="4" t="str" cm="1">
        <f t="array" ref="G524">_xlfn.IFS(F524&lt;30,"Young Adult",F524&lt;50,"Adult",F524&gt;=50,"Senior")</f>
        <v>Senior</v>
      </c>
      <c r="H524" s="4" t="s">
        <v>24</v>
      </c>
      <c r="I524" s="4">
        <v>1</v>
      </c>
      <c r="J524" s="11">
        <v>300</v>
      </c>
      <c r="K524" s="13">
        <f>I524*J524</f>
        <v>300</v>
      </c>
      <c r="L524" s="19">
        <f t="shared" si="25"/>
        <v>4.5</v>
      </c>
      <c r="M524" s="19">
        <f t="shared" si="26"/>
        <v>6</v>
      </c>
      <c r="N524" s="13" cm="1">
        <f t="array" ref="N524">_xlfn.IFS(C524=2023,K524*$P$2,C524=2024,K524*$P$3)</f>
        <v>4.5</v>
      </c>
    </row>
    <row r="525" spans="1:14">
      <c r="A525" s="2">
        <v>524</v>
      </c>
      <c r="B525" s="3">
        <v>45202</v>
      </c>
      <c r="C525" s="4">
        <f t="shared" si="24"/>
        <v>2023</v>
      </c>
      <c r="D525" s="4" t="s">
        <v>571</v>
      </c>
      <c r="E525" s="4" t="s">
        <v>16</v>
      </c>
      <c r="F525" s="4">
        <v>46</v>
      </c>
      <c r="G525" s="4" t="str" cm="1">
        <f t="array" ref="G525">_xlfn.IFS(F525&lt;30,"Young Adult",F525&lt;50,"Adult",F525&gt;=50,"Senior")</f>
        <v>Adult</v>
      </c>
      <c r="H525" s="4" t="s">
        <v>17</v>
      </c>
      <c r="I525" s="4">
        <v>4</v>
      </c>
      <c r="J525" s="11">
        <v>300</v>
      </c>
      <c r="K525" s="13">
        <f>I525*J525</f>
        <v>1200</v>
      </c>
      <c r="L525" s="19">
        <f t="shared" si="25"/>
        <v>18</v>
      </c>
      <c r="M525" s="19">
        <f t="shared" si="26"/>
        <v>24</v>
      </c>
      <c r="N525" s="13" cm="1">
        <f t="array" ref="N525">_xlfn.IFS(C525=2023,K525*$P$2,C525=2024,K525*$P$3)</f>
        <v>18</v>
      </c>
    </row>
    <row r="526" spans="1:14">
      <c r="A526" s="2">
        <v>525</v>
      </c>
      <c r="B526" s="3">
        <v>45278</v>
      </c>
      <c r="C526" s="4">
        <f t="shared" si="24"/>
        <v>2023</v>
      </c>
      <c r="D526" s="4" t="s">
        <v>572</v>
      </c>
      <c r="E526" s="4" t="s">
        <v>20</v>
      </c>
      <c r="F526" s="4">
        <v>47</v>
      </c>
      <c r="G526" s="4" t="str" cm="1">
        <f t="array" ref="G526">_xlfn.IFS(F526&lt;30,"Young Adult",F526&lt;50,"Adult",F526&gt;=50,"Senior")</f>
        <v>Adult</v>
      </c>
      <c r="H526" s="4" t="s">
        <v>17</v>
      </c>
      <c r="I526" s="4">
        <v>2</v>
      </c>
      <c r="J526" s="11">
        <v>25</v>
      </c>
      <c r="K526" s="13">
        <f>I526*J526</f>
        <v>50</v>
      </c>
      <c r="L526" s="19">
        <f t="shared" si="25"/>
        <v>0.75</v>
      </c>
      <c r="M526" s="19">
        <f t="shared" si="26"/>
        <v>1</v>
      </c>
      <c r="N526" s="13" cm="1">
        <f t="array" ref="N526">_xlfn.IFS(C526=2023,K526*$P$2,C526=2024,K526*$P$3)</f>
        <v>0.75</v>
      </c>
    </row>
    <row r="527" spans="1:14">
      <c r="A527" s="2">
        <v>526</v>
      </c>
      <c r="B527" s="3">
        <v>45270</v>
      </c>
      <c r="C527" s="4">
        <f t="shared" si="24"/>
        <v>2023</v>
      </c>
      <c r="D527" s="4" t="s">
        <v>573</v>
      </c>
      <c r="E527" s="4" t="s">
        <v>16</v>
      </c>
      <c r="F527" s="4">
        <v>33</v>
      </c>
      <c r="G527" s="4" t="str" cm="1">
        <f t="array" ref="G527">_xlfn.IFS(F527&lt;30,"Young Adult",F527&lt;50,"Adult",F527&gt;=50,"Senior")</f>
        <v>Adult</v>
      </c>
      <c r="H527" s="4" t="s">
        <v>21</v>
      </c>
      <c r="I527" s="4">
        <v>2</v>
      </c>
      <c r="J527" s="11">
        <v>50</v>
      </c>
      <c r="K527" s="13">
        <f>I527*J527</f>
        <v>100</v>
      </c>
      <c r="L527" s="19">
        <f t="shared" si="25"/>
        <v>1.5</v>
      </c>
      <c r="M527" s="19">
        <f t="shared" si="26"/>
        <v>2</v>
      </c>
      <c r="N527" s="13" cm="1">
        <f t="array" ref="N527">_xlfn.IFS(C527=2023,K527*$P$2,C527=2024,K527*$P$3)</f>
        <v>1.5</v>
      </c>
    </row>
    <row r="528" spans="1:14">
      <c r="A528" s="2">
        <v>527</v>
      </c>
      <c r="B528" s="3">
        <v>45027</v>
      </c>
      <c r="C528" s="4">
        <f t="shared" si="24"/>
        <v>2023</v>
      </c>
      <c r="D528" s="4" t="s">
        <v>574</v>
      </c>
      <c r="E528" s="4" t="s">
        <v>16</v>
      </c>
      <c r="F528" s="4">
        <v>57</v>
      </c>
      <c r="G528" s="4" t="str" cm="1">
        <f t="array" ref="G528">_xlfn.IFS(F528&lt;30,"Young Adult",F528&lt;50,"Adult",F528&gt;=50,"Senior")</f>
        <v>Senior</v>
      </c>
      <c r="H528" s="4" t="s">
        <v>21</v>
      </c>
      <c r="I528" s="4">
        <v>2</v>
      </c>
      <c r="J528" s="11">
        <v>25</v>
      </c>
      <c r="K528" s="13">
        <f>I528*J528</f>
        <v>50</v>
      </c>
      <c r="L528" s="19">
        <f t="shared" si="25"/>
        <v>0.75</v>
      </c>
      <c r="M528" s="19">
        <f t="shared" si="26"/>
        <v>1</v>
      </c>
      <c r="N528" s="13" cm="1">
        <f t="array" ref="N528">_xlfn.IFS(C528=2023,K528*$P$2,C528=2024,K528*$P$3)</f>
        <v>0.75</v>
      </c>
    </row>
    <row r="529" spans="1:14">
      <c r="A529" s="2">
        <v>528</v>
      </c>
      <c r="B529" s="3">
        <v>45113</v>
      </c>
      <c r="C529" s="4">
        <f t="shared" si="24"/>
        <v>2023</v>
      </c>
      <c r="D529" s="4" t="s">
        <v>575</v>
      </c>
      <c r="E529" s="4" t="s">
        <v>20</v>
      </c>
      <c r="F529" s="4">
        <v>36</v>
      </c>
      <c r="G529" s="4" t="str" cm="1">
        <f t="array" ref="G529">_xlfn.IFS(F529&lt;30,"Young Adult",F529&lt;50,"Adult",F529&gt;=50,"Senior")</f>
        <v>Adult</v>
      </c>
      <c r="H529" s="4" t="s">
        <v>21</v>
      </c>
      <c r="I529" s="4">
        <v>2</v>
      </c>
      <c r="J529" s="11">
        <v>30</v>
      </c>
      <c r="K529" s="13">
        <f>I529*J529</f>
        <v>60</v>
      </c>
      <c r="L529" s="19">
        <f t="shared" si="25"/>
        <v>0.89999999999999991</v>
      </c>
      <c r="M529" s="19">
        <f t="shared" si="26"/>
        <v>1.2</v>
      </c>
      <c r="N529" s="13" cm="1">
        <f t="array" ref="N529">_xlfn.IFS(C529=2023,K529*$P$2,C529=2024,K529*$P$3)</f>
        <v>0.89999999999999991</v>
      </c>
    </row>
    <row r="530" spans="1:14">
      <c r="A530" s="2">
        <v>529</v>
      </c>
      <c r="B530" s="3">
        <v>45147</v>
      </c>
      <c r="C530" s="4">
        <f t="shared" si="24"/>
        <v>2023</v>
      </c>
      <c r="D530" s="4" t="s">
        <v>576</v>
      </c>
      <c r="E530" s="4" t="s">
        <v>20</v>
      </c>
      <c r="F530" s="4">
        <v>35</v>
      </c>
      <c r="G530" s="4" t="str" cm="1">
        <f t="array" ref="G530">_xlfn.IFS(F530&lt;30,"Young Adult",F530&lt;50,"Adult",F530&gt;=50,"Senior")</f>
        <v>Adult</v>
      </c>
      <c r="H530" s="4" t="s">
        <v>21</v>
      </c>
      <c r="I530" s="4">
        <v>3</v>
      </c>
      <c r="J530" s="11">
        <v>50</v>
      </c>
      <c r="K530" s="13">
        <f>I530*J530</f>
        <v>150</v>
      </c>
      <c r="L530" s="19">
        <f t="shared" si="25"/>
        <v>2.25</v>
      </c>
      <c r="M530" s="19">
        <f t="shared" si="26"/>
        <v>3</v>
      </c>
      <c r="N530" s="13" cm="1">
        <f t="array" ref="N530">_xlfn.IFS(C530=2023,K530*$P$2,C530=2024,K530*$P$3)</f>
        <v>2.25</v>
      </c>
    </row>
    <row r="531" spans="1:14">
      <c r="A531" s="2">
        <v>530</v>
      </c>
      <c r="B531" s="3">
        <v>44962</v>
      </c>
      <c r="C531" s="4">
        <f t="shared" si="24"/>
        <v>2023</v>
      </c>
      <c r="D531" s="4" t="s">
        <v>577</v>
      </c>
      <c r="E531" s="4" t="s">
        <v>20</v>
      </c>
      <c r="F531" s="4">
        <v>18</v>
      </c>
      <c r="G531" s="4" t="str" cm="1">
        <f t="array" ref="G531">_xlfn.IFS(F531&lt;30,"Young Adult",F531&lt;50,"Adult",F531&gt;=50,"Senior")</f>
        <v>Young Adult</v>
      </c>
      <c r="H531" s="4" t="s">
        <v>24</v>
      </c>
      <c r="I531" s="4">
        <v>4</v>
      </c>
      <c r="J531" s="11">
        <v>30</v>
      </c>
      <c r="K531" s="13">
        <f>I531*J531</f>
        <v>120</v>
      </c>
      <c r="L531" s="19">
        <f t="shared" si="25"/>
        <v>1.7999999999999998</v>
      </c>
      <c r="M531" s="19">
        <f t="shared" si="26"/>
        <v>2.4</v>
      </c>
      <c r="N531" s="13" cm="1">
        <f t="array" ref="N531">_xlfn.IFS(C531=2023,K531*$P$2,C531=2024,K531*$P$3)</f>
        <v>1.7999999999999998</v>
      </c>
    </row>
    <row r="532" spans="1:14">
      <c r="A532" s="2">
        <v>531</v>
      </c>
      <c r="B532" s="3">
        <v>45267</v>
      </c>
      <c r="C532" s="4">
        <f t="shared" si="24"/>
        <v>2023</v>
      </c>
      <c r="D532" s="4" t="s">
        <v>578</v>
      </c>
      <c r="E532" s="4" t="s">
        <v>16</v>
      </c>
      <c r="F532" s="4">
        <v>31</v>
      </c>
      <c r="G532" s="4" t="str" cm="1">
        <f t="array" ref="G532">_xlfn.IFS(F532&lt;30,"Young Adult",F532&lt;50,"Adult",F532&gt;=50,"Senior")</f>
        <v>Adult</v>
      </c>
      <c r="H532" s="4" t="s">
        <v>24</v>
      </c>
      <c r="I532" s="4">
        <v>1</v>
      </c>
      <c r="J532" s="11">
        <v>500</v>
      </c>
      <c r="K532" s="13">
        <f>I532*J532</f>
        <v>500</v>
      </c>
      <c r="L532" s="19">
        <f t="shared" si="25"/>
        <v>7.5</v>
      </c>
      <c r="M532" s="19">
        <f t="shared" si="26"/>
        <v>10</v>
      </c>
      <c r="N532" s="13" cm="1">
        <f t="array" ref="N532">_xlfn.IFS(C532=2023,K532*$P$2,C532=2024,K532*$P$3)</f>
        <v>7.5</v>
      </c>
    </row>
    <row r="533" spans="1:14">
      <c r="A533" s="2">
        <v>532</v>
      </c>
      <c r="B533" s="3">
        <v>45096</v>
      </c>
      <c r="C533" s="4">
        <f t="shared" si="24"/>
        <v>2023</v>
      </c>
      <c r="D533" s="4" t="s">
        <v>579</v>
      </c>
      <c r="E533" s="4" t="s">
        <v>20</v>
      </c>
      <c r="F533" s="4">
        <v>64</v>
      </c>
      <c r="G533" s="4" t="str" cm="1">
        <f t="array" ref="G533">_xlfn.IFS(F533&lt;30,"Young Adult",F533&lt;50,"Adult",F533&gt;=50,"Senior")</f>
        <v>Senior</v>
      </c>
      <c r="H533" s="4" t="s">
        <v>21</v>
      </c>
      <c r="I533" s="4">
        <v>4</v>
      </c>
      <c r="J533" s="11">
        <v>30</v>
      </c>
      <c r="K533" s="13">
        <f>I533*J533</f>
        <v>120</v>
      </c>
      <c r="L533" s="19">
        <f t="shared" si="25"/>
        <v>1.7999999999999998</v>
      </c>
      <c r="M533" s="19">
        <f t="shared" si="26"/>
        <v>2.4</v>
      </c>
      <c r="N533" s="13" cm="1">
        <f t="array" ref="N533">_xlfn.IFS(C533=2023,K533*$P$2,C533=2024,K533*$P$3)</f>
        <v>1.7999999999999998</v>
      </c>
    </row>
    <row r="534" spans="1:14">
      <c r="A534" s="2">
        <v>533</v>
      </c>
      <c r="B534" s="3">
        <v>45246</v>
      </c>
      <c r="C534" s="4">
        <f t="shared" si="24"/>
        <v>2023</v>
      </c>
      <c r="D534" s="4" t="s">
        <v>580</v>
      </c>
      <c r="E534" s="4" t="s">
        <v>16</v>
      </c>
      <c r="F534" s="4">
        <v>19</v>
      </c>
      <c r="G534" s="4" t="str" cm="1">
        <f t="array" ref="G534">_xlfn.IFS(F534&lt;30,"Young Adult",F534&lt;50,"Adult",F534&gt;=50,"Senior")</f>
        <v>Young Adult</v>
      </c>
      <c r="H534" s="4" t="s">
        <v>24</v>
      </c>
      <c r="I534" s="4">
        <v>3</v>
      </c>
      <c r="J534" s="11">
        <v>500</v>
      </c>
      <c r="K534" s="13">
        <f>I534*J534</f>
        <v>1500</v>
      </c>
      <c r="L534" s="19">
        <f t="shared" si="25"/>
        <v>22.5</v>
      </c>
      <c r="M534" s="19">
        <f t="shared" si="26"/>
        <v>30</v>
      </c>
      <c r="N534" s="13" cm="1">
        <f t="array" ref="N534">_xlfn.IFS(C534=2023,K534*$P$2,C534=2024,K534*$P$3)</f>
        <v>22.5</v>
      </c>
    </row>
    <row r="535" spans="1:14">
      <c r="A535" s="2">
        <v>534</v>
      </c>
      <c r="B535" s="3">
        <v>45087</v>
      </c>
      <c r="C535" s="4">
        <f t="shared" si="24"/>
        <v>2023</v>
      </c>
      <c r="D535" s="4" t="s">
        <v>581</v>
      </c>
      <c r="E535" s="4" t="s">
        <v>16</v>
      </c>
      <c r="F535" s="4">
        <v>45</v>
      </c>
      <c r="G535" s="4" t="str" cm="1">
        <f t="array" ref="G535">_xlfn.IFS(F535&lt;30,"Young Adult",F535&lt;50,"Adult",F535&gt;=50,"Senior")</f>
        <v>Adult</v>
      </c>
      <c r="H535" s="4" t="s">
        <v>21</v>
      </c>
      <c r="I535" s="4">
        <v>2</v>
      </c>
      <c r="J535" s="11">
        <v>500</v>
      </c>
      <c r="K535" s="13">
        <f>I535*J535</f>
        <v>1000</v>
      </c>
      <c r="L535" s="19">
        <f t="shared" si="25"/>
        <v>15</v>
      </c>
      <c r="M535" s="19">
        <f t="shared" si="26"/>
        <v>20</v>
      </c>
      <c r="N535" s="13" cm="1">
        <f t="array" ref="N535">_xlfn.IFS(C535=2023,K535*$P$2,C535=2024,K535*$P$3)</f>
        <v>15</v>
      </c>
    </row>
    <row r="536" spans="1:14">
      <c r="A536" s="2">
        <v>535</v>
      </c>
      <c r="B536" s="3">
        <v>45266</v>
      </c>
      <c r="C536" s="4">
        <f t="shared" si="24"/>
        <v>2023</v>
      </c>
      <c r="D536" s="4" t="s">
        <v>582</v>
      </c>
      <c r="E536" s="4" t="s">
        <v>16</v>
      </c>
      <c r="F536" s="4">
        <v>47</v>
      </c>
      <c r="G536" s="4" t="str" cm="1">
        <f t="array" ref="G536">_xlfn.IFS(F536&lt;30,"Young Adult",F536&lt;50,"Adult",F536&gt;=50,"Senior")</f>
        <v>Adult</v>
      </c>
      <c r="H536" s="4" t="s">
        <v>17</v>
      </c>
      <c r="I536" s="4">
        <v>3</v>
      </c>
      <c r="J536" s="11">
        <v>30</v>
      </c>
      <c r="K536" s="13">
        <f>I536*J536</f>
        <v>90</v>
      </c>
      <c r="L536" s="19">
        <f t="shared" si="25"/>
        <v>1.3499999999999999</v>
      </c>
      <c r="M536" s="19">
        <f t="shared" si="26"/>
        <v>1.8</v>
      </c>
      <c r="N536" s="13" cm="1">
        <f t="array" ref="N536">_xlfn.IFS(C536=2023,K536*$P$2,C536=2024,K536*$P$3)</f>
        <v>1.3499999999999999</v>
      </c>
    </row>
    <row r="537" spans="1:14">
      <c r="A537" s="2">
        <v>536</v>
      </c>
      <c r="B537" s="3">
        <v>44990</v>
      </c>
      <c r="C537" s="4">
        <f t="shared" si="24"/>
        <v>2023</v>
      </c>
      <c r="D537" s="4" t="s">
        <v>583</v>
      </c>
      <c r="E537" s="4" t="s">
        <v>20</v>
      </c>
      <c r="F537" s="4">
        <v>55</v>
      </c>
      <c r="G537" s="4" t="str" cm="1">
        <f t="array" ref="G537">_xlfn.IFS(F537&lt;30,"Young Adult",F537&lt;50,"Adult",F537&gt;=50,"Senior")</f>
        <v>Senior</v>
      </c>
      <c r="H537" s="4" t="s">
        <v>17</v>
      </c>
      <c r="I537" s="4">
        <v>4</v>
      </c>
      <c r="J537" s="11">
        <v>30</v>
      </c>
      <c r="K537" s="13">
        <f>I537*J537</f>
        <v>120</v>
      </c>
      <c r="L537" s="19">
        <f t="shared" si="25"/>
        <v>1.7999999999999998</v>
      </c>
      <c r="M537" s="19">
        <f t="shared" si="26"/>
        <v>2.4</v>
      </c>
      <c r="N537" s="13" cm="1">
        <f t="array" ref="N537">_xlfn.IFS(C537=2023,K537*$P$2,C537=2024,K537*$P$3)</f>
        <v>1.7999999999999998</v>
      </c>
    </row>
    <row r="538" spans="1:14">
      <c r="A538" s="2">
        <v>537</v>
      </c>
      <c r="B538" s="3">
        <v>45080</v>
      </c>
      <c r="C538" s="4">
        <f t="shared" si="24"/>
        <v>2023</v>
      </c>
      <c r="D538" s="4" t="s">
        <v>584</v>
      </c>
      <c r="E538" s="4" t="s">
        <v>20</v>
      </c>
      <c r="F538" s="4">
        <v>21</v>
      </c>
      <c r="G538" s="4" t="str" cm="1">
        <f t="array" ref="G538">_xlfn.IFS(F538&lt;30,"Young Adult",F538&lt;50,"Adult",F538&gt;=50,"Senior")</f>
        <v>Young Adult</v>
      </c>
      <c r="H538" s="4" t="s">
        <v>17</v>
      </c>
      <c r="I538" s="4">
        <v>1</v>
      </c>
      <c r="J538" s="11">
        <v>500</v>
      </c>
      <c r="K538" s="13">
        <f>I538*J538</f>
        <v>500</v>
      </c>
      <c r="L538" s="19">
        <f t="shared" si="25"/>
        <v>7.5</v>
      </c>
      <c r="M538" s="19">
        <f t="shared" si="26"/>
        <v>10</v>
      </c>
      <c r="N538" s="13" cm="1">
        <f t="array" ref="N538">_xlfn.IFS(C538=2023,K538*$P$2,C538=2024,K538*$P$3)</f>
        <v>7.5</v>
      </c>
    </row>
    <row r="539" spans="1:14">
      <c r="A539" s="2">
        <v>538</v>
      </c>
      <c r="B539" s="3">
        <v>45186</v>
      </c>
      <c r="C539" s="4">
        <f t="shared" si="24"/>
        <v>2023</v>
      </c>
      <c r="D539" s="4" t="s">
        <v>585</v>
      </c>
      <c r="E539" s="4" t="s">
        <v>16</v>
      </c>
      <c r="F539" s="4">
        <v>18</v>
      </c>
      <c r="G539" s="4" t="str" cm="1">
        <f t="array" ref="G539">_xlfn.IFS(F539&lt;30,"Young Adult",F539&lt;50,"Adult",F539&gt;=50,"Senior")</f>
        <v>Young Adult</v>
      </c>
      <c r="H539" s="4" t="s">
        <v>21</v>
      </c>
      <c r="I539" s="4">
        <v>3</v>
      </c>
      <c r="J539" s="11">
        <v>50</v>
      </c>
      <c r="K539" s="13">
        <f>I539*J539</f>
        <v>150</v>
      </c>
      <c r="L539" s="19">
        <f t="shared" si="25"/>
        <v>2.25</v>
      </c>
      <c r="M539" s="19">
        <f t="shared" si="26"/>
        <v>3</v>
      </c>
      <c r="N539" s="13" cm="1">
        <f t="array" ref="N539">_xlfn.IFS(C539=2023,K539*$P$2,C539=2024,K539*$P$3)</f>
        <v>2.25</v>
      </c>
    </row>
    <row r="540" spans="1:14">
      <c r="A540" s="2">
        <v>539</v>
      </c>
      <c r="B540" s="3">
        <v>45085</v>
      </c>
      <c r="C540" s="4">
        <f t="shared" si="24"/>
        <v>2023</v>
      </c>
      <c r="D540" s="4" t="s">
        <v>586</v>
      </c>
      <c r="E540" s="4" t="s">
        <v>16</v>
      </c>
      <c r="F540" s="4">
        <v>25</v>
      </c>
      <c r="G540" s="4" t="str" cm="1">
        <f t="array" ref="G540">_xlfn.IFS(F540&lt;30,"Young Adult",F540&lt;50,"Adult",F540&gt;=50,"Senior")</f>
        <v>Young Adult</v>
      </c>
      <c r="H540" s="4" t="s">
        <v>17</v>
      </c>
      <c r="I540" s="4">
        <v>1</v>
      </c>
      <c r="J540" s="11">
        <v>500</v>
      </c>
      <c r="K540" s="13">
        <f>I540*J540</f>
        <v>500</v>
      </c>
      <c r="L540" s="19">
        <f t="shared" si="25"/>
        <v>7.5</v>
      </c>
      <c r="M540" s="19">
        <f t="shared" si="26"/>
        <v>10</v>
      </c>
      <c r="N540" s="13" cm="1">
        <f t="array" ref="N540">_xlfn.IFS(C540=2023,K540*$P$2,C540=2024,K540*$P$3)</f>
        <v>7.5</v>
      </c>
    </row>
    <row r="541" spans="1:14">
      <c r="A541" s="2">
        <v>540</v>
      </c>
      <c r="B541" s="3">
        <v>45268</v>
      </c>
      <c r="C541" s="4">
        <f t="shared" si="24"/>
        <v>2023</v>
      </c>
      <c r="D541" s="4" t="s">
        <v>587</v>
      </c>
      <c r="E541" s="4" t="s">
        <v>20</v>
      </c>
      <c r="F541" s="4">
        <v>46</v>
      </c>
      <c r="G541" s="4" t="str" cm="1">
        <f t="array" ref="G541">_xlfn.IFS(F541&lt;30,"Young Adult",F541&lt;50,"Adult",F541&gt;=50,"Senior")</f>
        <v>Adult</v>
      </c>
      <c r="H541" s="4" t="s">
        <v>24</v>
      </c>
      <c r="I541" s="4">
        <v>3</v>
      </c>
      <c r="J541" s="11">
        <v>300</v>
      </c>
      <c r="K541" s="13">
        <f>I541*J541</f>
        <v>900</v>
      </c>
      <c r="L541" s="19">
        <f t="shared" si="25"/>
        <v>13.5</v>
      </c>
      <c r="M541" s="19">
        <f t="shared" si="26"/>
        <v>18</v>
      </c>
      <c r="N541" s="13" cm="1">
        <f t="array" ref="N541">_xlfn.IFS(C541=2023,K541*$P$2,C541=2024,K541*$P$3)</f>
        <v>13.5</v>
      </c>
    </row>
    <row r="542" spans="1:14">
      <c r="A542" s="2">
        <v>541</v>
      </c>
      <c r="B542" s="3">
        <v>45136</v>
      </c>
      <c r="C542" s="4">
        <f t="shared" si="24"/>
        <v>2023</v>
      </c>
      <c r="D542" s="4" t="s">
        <v>588</v>
      </c>
      <c r="E542" s="4" t="s">
        <v>16</v>
      </c>
      <c r="F542" s="4">
        <v>56</v>
      </c>
      <c r="G542" s="4" t="str" cm="1">
        <f t="array" ref="G542">_xlfn.IFS(F542&lt;30,"Young Adult",F542&lt;50,"Adult",F542&gt;=50,"Senior")</f>
        <v>Senior</v>
      </c>
      <c r="H542" s="4" t="s">
        <v>17</v>
      </c>
      <c r="I542" s="4">
        <v>1</v>
      </c>
      <c r="J542" s="11">
        <v>500</v>
      </c>
      <c r="K542" s="13">
        <f>I542*J542</f>
        <v>500</v>
      </c>
      <c r="L542" s="19">
        <f t="shared" si="25"/>
        <v>7.5</v>
      </c>
      <c r="M542" s="19">
        <f t="shared" si="26"/>
        <v>10</v>
      </c>
      <c r="N542" s="13" cm="1">
        <f t="array" ref="N542">_xlfn.IFS(C542=2023,K542*$P$2,C542=2024,K542*$P$3)</f>
        <v>7.5</v>
      </c>
    </row>
    <row r="543" spans="1:14">
      <c r="A543" s="2">
        <v>542</v>
      </c>
      <c r="B543" s="3">
        <v>45094</v>
      </c>
      <c r="C543" s="4">
        <f t="shared" si="24"/>
        <v>2023</v>
      </c>
      <c r="D543" s="4" t="s">
        <v>589</v>
      </c>
      <c r="E543" s="4" t="s">
        <v>20</v>
      </c>
      <c r="F543" s="4">
        <v>20</v>
      </c>
      <c r="G543" s="4" t="str" cm="1">
        <f t="array" ref="G543">_xlfn.IFS(F543&lt;30,"Young Adult",F543&lt;50,"Adult",F543&gt;=50,"Senior")</f>
        <v>Young Adult</v>
      </c>
      <c r="H543" s="4" t="s">
        <v>17</v>
      </c>
      <c r="I543" s="4">
        <v>1</v>
      </c>
      <c r="J543" s="11">
        <v>50</v>
      </c>
      <c r="K543" s="13">
        <f>I543*J543</f>
        <v>50</v>
      </c>
      <c r="L543" s="19">
        <f t="shared" si="25"/>
        <v>0.75</v>
      </c>
      <c r="M543" s="19">
        <f t="shared" si="26"/>
        <v>1</v>
      </c>
      <c r="N543" s="13" cm="1">
        <f t="array" ref="N543">_xlfn.IFS(C543=2023,K543*$P$2,C543=2024,K543*$P$3)</f>
        <v>0.75</v>
      </c>
    </row>
    <row r="544" spans="1:14">
      <c r="A544" s="2">
        <v>543</v>
      </c>
      <c r="B544" s="3">
        <v>45133</v>
      </c>
      <c r="C544" s="4">
        <f t="shared" si="24"/>
        <v>2023</v>
      </c>
      <c r="D544" s="4" t="s">
        <v>590</v>
      </c>
      <c r="E544" s="4" t="s">
        <v>16</v>
      </c>
      <c r="F544" s="4">
        <v>49</v>
      </c>
      <c r="G544" s="4" t="str" cm="1">
        <f t="array" ref="G544">_xlfn.IFS(F544&lt;30,"Young Adult",F544&lt;50,"Adult",F544&gt;=50,"Senior")</f>
        <v>Adult</v>
      </c>
      <c r="H544" s="4" t="s">
        <v>17</v>
      </c>
      <c r="I544" s="4">
        <v>2</v>
      </c>
      <c r="J544" s="11">
        <v>300</v>
      </c>
      <c r="K544" s="13">
        <f>I544*J544</f>
        <v>600</v>
      </c>
      <c r="L544" s="19">
        <f t="shared" si="25"/>
        <v>9</v>
      </c>
      <c r="M544" s="19">
        <f t="shared" si="26"/>
        <v>12</v>
      </c>
      <c r="N544" s="13" cm="1">
        <f t="array" ref="N544">_xlfn.IFS(C544=2023,K544*$P$2,C544=2024,K544*$P$3)</f>
        <v>9</v>
      </c>
    </row>
    <row r="545" spans="1:14">
      <c r="A545" s="2">
        <v>544</v>
      </c>
      <c r="B545" s="3">
        <v>45283</v>
      </c>
      <c r="C545" s="4">
        <f t="shared" si="24"/>
        <v>2023</v>
      </c>
      <c r="D545" s="4" t="s">
        <v>591</v>
      </c>
      <c r="E545" s="4" t="s">
        <v>20</v>
      </c>
      <c r="F545" s="4">
        <v>27</v>
      </c>
      <c r="G545" s="4" t="str" cm="1">
        <f t="array" ref="G545">_xlfn.IFS(F545&lt;30,"Young Adult",F545&lt;50,"Adult",F545&gt;=50,"Senior")</f>
        <v>Young Adult</v>
      </c>
      <c r="H545" s="4" t="s">
        <v>24</v>
      </c>
      <c r="I545" s="4">
        <v>1</v>
      </c>
      <c r="J545" s="11">
        <v>25</v>
      </c>
      <c r="K545" s="13">
        <f>I545*J545</f>
        <v>25</v>
      </c>
      <c r="L545" s="19">
        <f t="shared" si="25"/>
        <v>0.375</v>
      </c>
      <c r="M545" s="19">
        <f t="shared" si="26"/>
        <v>0.5</v>
      </c>
      <c r="N545" s="13" cm="1">
        <f t="array" ref="N545">_xlfn.IFS(C545=2023,K545*$P$2,C545=2024,K545*$P$3)</f>
        <v>0.375</v>
      </c>
    </row>
    <row r="546" spans="1:14">
      <c r="A546" s="2">
        <v>545</v>
      </c>
      <c r="B546" s="3">
        <v>45078</v>
      </c>
      <c r="C546" s="4">
        <f t="shared" si="24"/>
        <v>2023</v>
      </c>
      <c r="D546" s="4" t="s">
        <v>592</v>
      </c>
      <c r="E546" s="4" t="s">
        <v>16</v>
      </c>
      <c r="F546" s="4">
        <v>27</v>
      </c>
      <c r="G546" s="4" t="str" cm="1">
        <f t="array" ref="G546">_xlfn.IFS(F546&lt;30,"Young Adult",F546&lt;50,"Adult",F546&gt;=50,"Senior")</f>
        <v>Young Adult</v>
      </c>
      <c r="H546" s="4" t="s">
        <v>21</v>
      </c>
      <c r="I546" s="4">
        <v>2</v>
      </c>
      <c r="J546" s="11">
        <v>25</v>
      </c>
      <c r="K546" s="13">
        <f>I546*J546</f>
        <v>50</v>
      </c>
      <c r="L546" s="19">
        <f t="shared" si="25"/>
        <v>0.75</v>
      </c>
      <c r="M546" s="19">
        <f t="shared" si="26"/>
        <v>1</v>
      </c>
      <c r="N546" s="13" cm="1">
        <f t="array" ref="N546">_xlfn.IFS(C546=2023,K546*$P$2,C546=2024,K546*$P$3)</f>
        <v>0.75</v>
      </c>
    </row>
    <row r="547" spans="1:14">
      <c r="A547" s="2">
        <v>546</v>
      </c>
      <c r="B547" s="3">
        <v>45210</v>
      </c>
      <c r="C547" s="4">
        <f t="shared" si="24"/>
        <v>2023</v>
      </c>
      <c r="D547" s="4" t="s">
        <v>593</v>
      </c>
      <c r="E547" s="4" t="s">
        <v>20</v>
      </c>
      <c r="F547" s="4">
        <v>36</v>
      </c>
      <c r="G547" s="4" t="str" cm="1">
        <f t="array" ref="G547">_xlfn.IFS(F547&lt;30,"Young Adult",F547&lt;50,"Adult",F547&gt;=50,"Senior")</f>
        <v>Adult</v>
      </c>
      <c r="H547" s="4" t="s">
        <v>24</v>
      </c>
      <c r="I547" s="4">
        <v>4</v>
      </c>
      <c r="J547" s="11">
        <v>50</v>
      </c>
      <c r="K547" s="13">
        <f>I547*J547</f>
        <v>200</v>
      </c>
      <c r="L547" s="19">
        <f t="shared" si="25"/>
        <v>3</v>
      </c>
      <c r="M547" s="19">
        <f t="shared" si="26"/>
        <v>4</v>
      </c>
      <c r="N547" s="13" cm="1">
        <f t="array" ref="N547">_xlfn.IFS(C547=2023,K547*$P$2,C547=2024,K547*$P$3)</f>
        <v>3</v>
      </c>
    </row>
    <row r="548" spans="1:14">
      <c r="A548" s="2">
        <v>547</v>
      </c>
      <c r="B548" s="3">
        <v>44992</v>
      </c>
      <c r="C548" s="4">
        <f t="shared" si="24"/>
        <v>2023</v>
      </c>
      <c r="D548" s="4" t="s">
        <v>594</v>
      </c>
      <c r="E548" s="4" t="s">
        <v>16</v>
      </c>
      <c r="F548" s="4">
        <v>63</v>
      </c>
      <c r="G548" s="4" t="str" cm="1">
        <f t="array" ref="G548">_xlfn.IFS(F548&lt;30,"Young Adult",F548&lt;50,"Adult",F548&gt;=50,"Senior")</f>
        <v>Senior</v>
      </c>
      <c r="H548" s="4" t="s">
        <v>21</v>
      </c>
      <c r="I548" s="4">
        <v>4</v>
      </c>
      <c r="J548" s="11">
        <v>500</v>
      </c>
      <c r="K548" s="13">
        <f>I548*J548</f>
        <v>2000</v>
      </c>
      <c r="L548" s="19">
        <f t="shared" si="25"/>
        <v>30</v>
      </c>
      <c r="M548" s="19">
        <f t="shared" si="26"/>
        <v>40</v>
      </c>
      <c r="N548" s="13" cm="1">
        <f t="array" ref="N548">_xlfn.IFS(C548=2023,K548*$P$2,C548=2024,K548*$P$3)</f>
        <v>30</v>
      </c>
    </row>
    <row r="549" spans="1:14">
      <c r="A549" s="2">
        <v>548</v>
      </c>
      <c r="B549" s="3">
        <v>45025</v>
      </c>
      <c r="C549" s="4">
        <f t="shared" si="24"/>
        <v>2023</v>
      </c>
      <c r="D549" s="4" t="s">
        <v>595</v>
      </c>
      <c r="E549" s="4" t="s">
        <v>20</v>
      </c>
      <c r="F549" s="4">
        <v>51</v>
      </c>
      <c r="G549" s="4" t="str" cm="1">
        <f t="array" ref="G549">_xlfn.IFS(F549&lt;30,"Young Adult",F549&lt;50,"Adult",F549&gt;=50,"Senior")</f>
        <v>Senior</v>
      </c>
      <c r="H549" s="4" t="s">
        <v>21</v>
      </c>
      <c r="I549" s="4">
        <v>2</v>
      </c>
      <c r="J549" s="11">
        <v>30</v>
      </c>
      <c r="K549" s="13">
        <f>I549*J549</f>
        <v>60</v>
      </c>
      <c r="L549" s="19">
        <f t="shared" si="25"/>
        <v>0.89999999999999991</v>
      </c>
      <c r="M549" s="19">
        <f t="shared" si="26"/>
        <v>1.2</v>
      </c>
      <c r="N549" s="13" cm="1">
        <f t="array" ref="N549">_xlfn.IFS(C549=2023,K549*$P$2,C549=2024,K549*$P$3)</f>
        <v>0.89999999999999991</v>
      </c>
    </row>
    <row r="550" spans="1:14">
      <c r="A550" s="2">
        <v>549</v>
      </c>
      <c r="B550" s="3">
        <v>45142</v>
      </c>
      <c r="C550" s="4">
        <f t="shared" si="24"/>
        <v>2023</v>
      </c>
      <c r="D550" s="4" t="s">
        <v>596</v>
      </c>
      <c r="E550" s="4" t="s">
        <v>20</v>
      </c>
      <c r="F550" s="4">
        <v>50</v>
      </c>
      <c r="G550" s="4" t="str" cm="1">
        <f t="array" ref="G550">_xlfn.IFS(F550&lt;30,"Young Adult",F550&lt;50,"Adult",F550&gt;=50,"Senior")</f>
        <v>Senior</v>
      </c>
      <c r="H550" s="4" t="s">
        <v>17</v>
      </c>
      <c r="I550" s="4">
        <v>2</v>
      </c>
      <c r="J550" s="11">
        <v>50</v>
      </c>
      <c r="K550" s="13">
        <f>I550*J550</f>
        <v>100</v>
      </c>
      <c r="L550" s="19">
        <f t="shared" si="25"/>
        <v>1.5</v>
      </c>
      <c r="M550" s="19">
        <f t="shared" si="26"/>
        <v>2</v>
      </c>
      <c r="N550" s="13" cm="1">
        <f t="array" ref="N550">_xlfn.IFS(C550=2023,K550*$P$2,C550=2024,K550*$P$3)</f>
        <v>1.5</v>
      </c>
    </row>
    <row r="551" spans="1:14">
      <c r="A551" s="2">
        <v>550</v>
      </c>
      <c r="B551" s="3">
        <v>45267</v>
      </c>
      <c r="C551" s="4">
        <f t="shared" si="24"/>
        <v>2023</v>
      </c>
      <c r="D551" s="4" t="s">
        <v>597</v>
      </c>
      <c r="E551" s="4" t="s">
        <v>16</v>
      </c>
      <c r="F551" s="4">
        <v>40</v>
      </c>
      <c r="G551" s="4" t="str" cm="1">
        <f t="array" ref="G551">_xlfn.IFS(F551&lt;30,"Young Adult",F551&lt;50,"Adult",F551&gt;=50,"Senior")</f>
        <v>Adult</v>
      </c>
      <c r="H551" s="4" t="s">
        <v>21</v>
      </c>
      <c r="I551" s="4">
        <v>3</v>
      </c>
      <c r="J551" s="11">
        <v>300</v>
      </c>
      <c r="K551" s="13">
        <f>I551*J551</f>
        <v>900</v>
      </c>
      <c r="L551" s="19">
        <f t="shared" si="25"/>
        <v>13.5</v>
      </c>
      <c r="M551" s="19">
        <f t="shared" si="26"/>
        <v>18</v>
      </c>
      <c r="N551" s="13" cm="1">
        <f t="array" ref="N551">_xlfn.IFS(C551=2023,K551*$P$2,C551=2024,K551*$P$3)</f>
        <v>13.5</v>
      </c>
    </row>
    <row r="552" spans="1:14">
      <c r="A552" s="2">
        <v>551</v>
      </c>
      <c r="B552" s="3">
        <v>45121</v>
      </c>
      <c r="C552" s="4">
        <f t="shared" si="24"/>
        <v>2023</v>
      </c>
      <c r="D552" s="4" t="s">
        <v>598</v>
      </c>
      <c r="E552" s="4" t="s">
        <v>16</v>
      </c>
      <c r="F552" s="4">
        <v>45</v>
      </c>
      <c r="G552" s="4" t="str" cm="1">
        <f t="array" ref="G552">_xlfn.IFS(F552&lt;30,"Young Adult",F552&lt;50,"Adult",F552&gt;=50,"Senior")</f>
        <v>Adult</v>
      </c>
      <c r="H552" s="4" t="s">
        <v>24</v>
      </c>
      <c r="I552" s="4">
        <v>3</v>
      </c>
      <c r="J552" s="11">
        <v>300</v>
      </c>
      <c r="K552" s="13">
        <f>I552*J552</f>
        <v>900</v>
      </c>
      <c r="L552" s="19">
        <f t="shared" si="25"/>
        <v>13.5</v>
      </c>
      <c r="M552" s="19">
        <f t="shared" si="26"/>
        <v>18</v>
      </c>
      <c r="N552" s="13" cm="1">
        <f t="array" ref="N552">_xlfn.IFS(C552=2023,K552*$P$2,C552=2024,K552*$P$3)</f>
        <v>13.5</v>
      </c>
    </row>
    <row r="553" spans="1:14">
      <c r="A553" s="2">
        <v>552</v>
      </c>
      <c r="B553" s="3">
        <v>45273</v>
      </c>
      <c r="C553" s="4">
        <f t="shared" si="24"/>
        <v>2023</v>
      </c>
      <c r="D553" s="4" t="s">
        <v>599</v>
      </c>
      <c r="E553" s="4" t="s">
        <v>20</v>
      </c>
      <c r="F553" s="4">
        <v>49</v>
      </c>
      <c r="G553" s="4" t="str" cm="1">
        <f t="array" ref="G553">_xlfn.IFS(F553&lt;30,"Young Adult",F553&lt;50,"Adult",F553&gt;=50,"Senior")</f>
        <v>Adult</v>
      </c>
      <c r="H553" s="4" t="s">
        <v>24</v>
      </c>
      <c r="I553" s="4">
        <v>3</v>
      </c>
      <c r="J553" s="11">
        <v>25</v>
      </c>
      <c r="K553" s="13">
        <f>I553*J553</f>
        <v>75</v>
      </c>
      <c r="L553" s="19">
        <f t="shared" si="25"/>
        <v>1.125</v>
      </c>
      <c r="M553" s="19">
        <f t="shared" si="26"/>
        <v>1.5</v>
      </c>
      <c r="N553" s="13" cm="1">
        <f t="array" ref="N553">_xlfn.IFS(C553=2023,K553*$P$2,C553=2024,K553*$P$3)</f>
        <v>1.125</v>
      </c>
    </row>
    <row r="554" spans="1:14">
      <c r="A554" s="2">
        <v>553</v>
      </c>
      <c r="B554" s="3">
        <v>45016</v>
      </c>
      <c r="C554" s="4">
        <f t="shared" si="24"/>
        <v>2023</v>
      </c>
      <c r="D554" s="4" t="s">
        <v>600</v>
      </c>
      <c r="E554" s="4" t="s">
        <v>16</v>
      </c>
      <c r="F554" s="4">
        <v>24</v>
      </c>
      <c r="G554" s="4" t="str" cm="1">
        <f t="array" ref="G554">_xlfn.IFS(F554&lt;30,"Young Adult",F554&lt;50,"Adult",F554&gt;=50,"Senior")</f>
        <v>Young Adult</v>
      </c>
      <c r="H554" s="4" t="s">
        <v>21</v>
      </c>
      <c r="I554" s="4">
        <v>4</v>
      </c>
      <c r="J554" s="11">
        <v>300</v>
      </c>
      <c r="K554" s="13">
        <f>I554*J554</f>
        <v>1200</v>
      </c>
      <c r="L554" s="19">
        <f t="shared" si="25"/>
        <v>18</v>
      </c>
      <c r="M554" s="19">
        <f t="shared" si="26"/>
        <v>24</v>
      </c>
      <c r="N554" s="13" cm="1">
        <f t="array" ref="N554">_xlfn.IFS(C554=2023,K554*$P$2,C554=2024,K554*$P$3)</f>
        <v>18</v>
      </c>
    </row>
    <row r="555" spans="1:14">
      <c r="A555" s="2">
        <v>554</v>
      </c>
      <c r="B555" s="3">
        <v>45242</v>
      </c>
      <c r="C555" s="4">
        <f t="shared" si="24"/>
        <v>2023</v>
      </c>
      <c r="D555" s="4" t="s">
        <v>601</v>
      </c>
      <c r="E555" s="4" t="s">
        <v>20</v>
      </c>
      <c r="F555" s="4">
        <v>46</v>
      </c>
      <c r="G555" s="4" t="str" cm="1">
        <f t="array" ref="G555">_xlfn.IFS(F555&lt;30,"Young Adult",F555&lt;50,"Adult",F555&gt;=50,"Senior")</f>
        <v>Adult</v>
      </c>
      <c r="H555" s="4" t="s">
        <v>17</v>
      </c>
      <c r="I555" s="4">
        <v>3</v>
      </c>
      <c r="J555" s="11">
        <v>50</v>
      </c>
      <c r="K555" s="13">
        <f>I555*J555</f>
        <v>150</v>
      </c>
      <c r="L555" s="19">
        <f t="shared" si="25"/>
        <v>2.25</v>
      </c>
      <c r="M555" s="19">
        <f t="shared" si="26"/>
        <v>3</v>
      </c>
      <c r="N555" s="13" cm="1">
        <f t="array" ref="N555">_xlfn.IFS(C555=2023,K555*$P$2,C555=2024,K555*$P$3)</f>
        <v>2.25</v>
      </c>
    </row>
    <row r="556" spans="1:14">
      <c r="A556" s="2">
        <v>555</v>
      </c>
      <c r="B556" s="3">
        <v>45218</v>
      </c>
      <c r="C556" s="4">
        <f t="shared" si="24"/>
        <v>2023</v>
      </c>
      <c r="D556" s="4" t="s">
        <v>602</v>
      </c>
      <c r="E556" s="4" t="s">
        <v>16</v>
      </c>
      <c r="F556" s="4">
        <v>25</v>
      </c>
      <c r="G556" s="4" t="str" cm="1">
        <f t="array" ref="G556">_xlfn.IFS(F556&lt;30,"Young Adult",F556&lt;50,"Adult",F556&gt;=50,"Senior")</f>
        <v>Young Adult</v>
      </c>
      <c r="H556" s="4" t="s">
        <v>17</v>
      </c>
      <c r="I556" s="4">
        <v>1</v>
      </c>
      <c r="J556" s="11">
        <v>300</v>
      </c>
      <c r="K556" s="13">
        <f>I556*J556</f>
        <v>300</v>
      </c>
      <c r="L556" s="19">
        <f t="shared" si="25"/>
        <v>4.5</v>
      </c>
      <c r="M556" s="19">
        <f t="shared" si="26"/>
        <v>6</v>
      </c>
      <c r="N556" s="13" cm="1">
        <f t="array" ref="N556">_xlfn.IFS(C556=2023,K556*$P$2,C556=2024,K556*$P$3)</f>
        <v>4.5</v>
      </c>
    </row>
    <row r="557" spans="1:14">
      <c r="A557" s="2">
        <v>556</v>
      </c>
      <c r="B557" s="3">
        <v>45081</v>
      </c>
      <c r="C557" s="4">
        <f t="shared" si="24"/>
        <v>2023</v>
      </c>
      <c r="D557" s="4" t="s">
        <v>603</v>
      </c>
      <c r="E557" s="4" t="s">
        <v>20</v>
      </c>
      <c r="F557" s="4">
        <v>18</v>
      </c>
      <c r="G557" s="4" t="str" cm="1">
        <f t="array" ref="G557">_xlfn.IFS(F557&lt;30,"Young Adult",F557&lt;50,"Adult",F557&gt;=50,"Senior")</f>
        <v>Young Adult</v>
      </c>
      <c r="H557" s="4" t="s">
        <v>24</v>
      </c>
      <c r="I557" s="4">
        <v>1</v>
      </c>
      <c r="J557" s="11">
        <v>50</v>
      </c>
      <c r="K557" s="13">
        <f>I557*J557</f>
        <v>50</v>
      </c>
      <c r="L557" s="19">
        <f t="shared" si="25"/>
        <v>0.75</v>
      </c>
      <c r="M557" s="19">
        <f t="shared" si="26"/>
        <v>1</v>
      </c>
      <c r="N557" s="13" cm="1">
        <f t="array" ref="N557">_xlfn.IFS(C557=2023,K557*$P$2,C557=2024,K557*$P$3)</f>
        <v>0.75</v>
      </c>
    </row>
    <row r="558" spans="1:14">
      <c r="A558" s="2">
        <v>557</v>
      </c>
      <c r="B558" s="3">
        <v>45134</v>
      </c>
      <c r="C558" s="4">
        <f t="shared" si="24"/>
        <v>2023</v>
      </c>
      <c r="D558" s="4" t="s">
        <v>604</v>
      </c>
      <c r="E558" s="4" t="s">
        <v>20</v>
      </c>
      <c r="F558" s="4">
        <v>20</v>
      </c>
      <c r="G558" s="4" t="str" cm="1">
        <f t="array" ref="G558">_xlfn.IFS(F558&lt;30,"Young Adult",F558&lt;50,"Adult",F558&gt;=50,"Senior")</f>
        <v>Young Adult</v>
      </c>
      <c r="H558" s="4" t="s">
        <v>17</v>
      </c>
      <c r="I558" s="4">
        <v>3</v>
      </c>
      <c r="J558" s="11">
        <v>30</v>
      </c>
      <c r="K558" s="13">
        <f>I558*J558</f>
        <v>90</v>
      </c>
      <c r="L558" s="19">
        <f t="shared" si="25"/>
        <v>1.3499999999999999</v>
      </c>
      <c r="M558" s="19">
        <f t="shared" si="26"/>
        <v>1.8</v>
      </c>
      <c r="N558" s="13" cm="1">
        <f t="array" ref="N558">_xlfn.IFS(C558=2023,K558*$P$2,C558=2024,K558*$P$3)</f>
        <v>1.3499999999999999</v>
      </c>
    </row>
    <row r="559" spans="1:14">
      <c r="A559" s="2">
        <v>558</v>
      </c>
      <c r="B559" s="3">
        <v>45207</v>
      </c>
      <c r="C559" s="4">
        <f t="shared" si="24"/>
        <v>2023</v>
      </c>
      <c r="D559" s="4" t="s">
        <v>605</v>
      </c>
      <c r="E559" s="4" t="s">
        <v>20</v>
      </c>
      <c r="F559" s="4">
        <v>41</v>
      </c>
      <c r="G559" s="4" t="str" cm="1">
        <f t="array" ref="G559">_xlfn.IFS(F559&lt;30,"Young Adult",F559&lt;50,"Adult",F559&gt;=50,"Senior")</f>
        <v>Adult</v>
      </c>
      <c r="H559" s="4" t="s">
        <v>21</v>
      </c>
      <c r="I559" s="4">
        <v>1</v>
      </c>
      <c r="J559" s="11">
        <v>25</v>
      </c>
      <c r="K559" s="13">
        <f>I559*J559</f>
        <v>25</v>
      </c>
      <c r="L559" s="19">
        <f t="shared" si="25"/>
        <v>0.375</v>
      </c>
      <c r="M559" s="19">
        <f t="shared" si="26"/>
        <v>0.5</v>
      </c>
      <c r="N559" s="13" cm="1">
        <f t="array" ref="N559">_xlfn.IFS(C559=2023,K559*$P$2,C559=2024,K559*$P$3)</f>
        <v>0.375</v>
      </c>
    </row>
    <row r="560" spans="1:14">
      <c r="A560" s="2">
        <v>559</v>
      </c>
      <c r="B560" s="3">
        <v>44927</v>
      </c>
      <c r="C560" s="4">
        <f t="shared" si="24"/>
        <v>2023</v>
      </c>
      <c r="D560" s="4" t="s">
        <v>606</v>
      </c>
      <c r="E560" s="4" t="s">
        <v>20</v>
      </c>
      <c r="F560" s="4">
        <v>40</v>
      </c>
      <c r="G560" s="4" t="str" cm="1">
        <f t="array" ref="G560">_xlfn.IFS(F560&lt;30,"Young Adult",F560&lt;50,"Adult",F560&gt;=50,"Senior")</f>
        <v>Adult</v>
      </c>
      <c r="H560" s="4" t="s">
        <v>21</v>
      </c>
      <c r="I560" s="4">
        <v>4</v>
      </c>
      <c r="J560" s="11">
        <v>300</v>
      </c>
      <c r="K560" s="13">
        <f>I560*J560</f>
        <v>1200</v>
      </c>
      <c r="L560" s="19">
        <f t="shared" si="25"/>
        <v>18</v>
      </c>
      <c r="M560" s="19">
        <f t="shared" si="26"/>
        <v>24</v>
      </c>
      <c r="N560" s="13" cm="1">
        <f t="array" ref="N560">_xlfn.IFS(C560=2023,K560*$P$2,C560=2024,K560*$P$3)</f>
        <v>18</v>
      </c>
    </row>
    <row r="561" spans="1:14">
      <c r="A561" s="2">
        <v>560</v>
      </c>
      <c r="B561" s="3">
        <v>45082</v>
      </c>
      <c r="C561" s="4">
        <f t="shared" si="24"/>
        <v>2023</v>
      </c>
      <c r="D561" s="4" t="s">
        <v>607</v>
      </c>
      <c r="E561" s="4" t="s">
        <v>20</v>
      </c>
      <c r="F561" s="4">
        <v>25</v>
      </c>
      <c r="G561" s="4" t="str" cm="1">
        <f t="array" ref="G561">_xlfn.IFS(F561&lt;30,"Young Adult",F561&lt;50,"Adult",F561&gt;=50,"Senior")</f>
        <v>Young Adult</v>
      </c>
      <c r="H561" s="4" t="s">
        <v>24</v>
      </c>
      <c r="I561" s="4">
        <v>1</v>
      </c>
      <c r="J561" s="11">
        <v>50</v>
      </c>
      <c r="K561" s="13">
        <f>I561*J561</f>
        <v>50</v>
      </c>
      <c r="L561" s="19">
        <f t="shared" si="25"/>
        <v>0.75</v>
      </c>
      <c r="M561" s="19">
        <f t="shared" si="26"/>
        <v>1</v>
      </c>
      <c r="N561" s="13" cm="1">
        <f t="array" ref="N561">_xlfn.IFS(C561=2023,K561*$P$2,C561=2024,K561*$P$3)</f>
        <v>0.75</v>
      </c>
    </row>
    <row r="562" spans="1:14">
      <c r="A562" s="2">
        <v>561</v>
      </c>
      <c r="B562" s="3">
        <v>45073</v>
      </c>
      <c r="C562" s="4">
        <f t="shared" si="24"/>
        <v>2023</v>
      </c>
      <c r="D562" s="4" t="s">
        <v>608</v>
      </c>
      <c r="E562" s="4" t="s">
        <v>20</v>
      </c>
      <c r="F562" s="4">
        <v>64</v>
      </c>
      <c r="G562" s="4" t="str" cm="1">
        <f t="array" ref="G562">_xlfn.IFS(F562&lt;30,"Young Adult",F562&lt;50,"Adult",F562&gt;=50,"Senior")</f>
        <v>Senior</v>
      </c>
      <c r="H562" s="4" t="s">
        <v>21</v>
      </c>
      <c r="I562" s="4">
        <v>4</v>
      </c>
      <c r="J562" s="11">
        <v>500</v>
      </c>
      <c r="K562" s="13">
        <f>I562*J562</f>
        <v>2000</v>
      </c>
      <c r="L562" s="19">
        <f t="shared" si="25"/>
        <v>30</v>
      </c>
      <c r="M562" s="19">
        <f t="shared" si="26"/>
        <v>40</v>
      </c>
      <c r="N562" s="13" cm="1">
        <f t="array" ref="N562">_xlfn.IFS(C562=2023,K562*$P$2,C562=2024,K562*$P$3)</f>
        <v>30</v>
      </c>
    </row>
    <row r="563" spans="1:14">
      <c r="A563" s="2">
        <v>562</v>
      </c>
      <c r="B563" s="3">
        <v>45034</v>
      </c>
      <c r="C563" s="4">
        <f t="shared" si="24"/>
        <v>2023</v>
      </c>
      <c r="D563" s="4" t="s">
        <v>609</v>
      </c>
      <c r="E563" s="4" t="s">
        <v>16</v>
      </c>
      <c r="F563" s="4">
        <v>54</v>
      </c>
      <c r="G563" s="4" t="str" cm="1">
        <f t="array" ref="G563">_xlfn.IFS(F563&lt;30,"Young Adult",F563&lt;50,"Adult",F563&gt;=50,"Senior")</f>
        <v>Senior</v>
      </c>
      <c r="H563" s="4" t="s">
        <v>24</v>
      </c>
      <c r="I563" s="4">
        <v>2</v>
      </c>
      <c r="J563" s="11">
        <v>25</v>
      </c>
      <c r="K563" s="13">
        <f>I563*J563</f>
        <v>50</v>
      </c>
      <c r="L563" s="19">
        <f t="shared" si="25"/>
        <v>0.75</v>
      </c>
      <c r="M563" s="19">
        <f t="shared" si="26"/>
        <v>1</v>
      </c>
      <c r="N563" s="13" cm="1">
        <f t="array" ref="N563">_xlfn.IFS(C563=2023,K563*$P$2,C563=2024,K563*$P$3)</f>
        <v>0.75</v>
      </c>
    </row>
    <row r="564" spans="1:14">
      <c r="A564" s="2">
        <v>563</v>
      </c>
      <c r="B564" s="3">
        <v>45147</v>
      </c>
      <c r="C564" s="4">
        <f t="shared" si="24"/>
        <v>2023</v>
      </c>
      <c r="D564" s="4" t="s">
        <v>610</v>
      </c>
      <c r="E564" s="4" t="s">
        <v>16</v>
      </c>
      <c r="F564" s="4">
        <v>20</v>
      </c>
      <c r="G564" s="4" t="str" cm="1">
        <f t="array" ref="G564">_xlfn.IFS(F564&lt;30,"Young Adult",F564&lt;50,"Adult",F564&gt;=50,"Senior")</f>
        <v>Young Adult</v>
      </c>
      <c r="H564" s="4" t="s">
        <v>21</v>
      </c>
      <c r="I564" s="4">
        <v>2</v>
      </c>
      <c r="J564" s="11">
        <v>30</v>
      </c>
      <c r="K564" s="13">
        <f>I564*J564</f>
        <v>60</v>
      </c>
      <c r="L564" s="19">
        <f t="shared" si="25"/>
        <v>0.89999999999999991</v>
      </c>
      <c r="M564" s="19">
        <f t="shared" si="26"/>
        <v>1.2</v>
      </c>
      <c r="N564" s="13" cm="1">
        <f t="array" ref="N564">_xlfn.IFS(C564=2023,K564*$P$2,C564=2024,K564*$P$3)</f>
        <v>0.89999999999999991</v>
      </c>
    </row>
    <row r="565" spans="1:14">
      <c r="A565" s="2">
        <v>564</v>
      </c>
      <c r="B565" s="3">
        <v>45223</v>
      </c>
      <c r="C565" s="4">
        <f t="shared" si="24"/>
        <v>2023</v>
      </c>
      <c r="D565" s="4" t="s">
        <v>611</v>
      </c>
      <c r="E565" s="4" t="s">
        <v>16</v>
      </c>
      <c r="F565" s="4">
        <v>50</v>
      </c>
      <c r="G565" s="4" t="str" cm="1">
        <f t="array" ref="G565">_xlfn.IFS(F565&lt;30,"Young Adult",F565&lt;50,"Adult",F565&gt;=50,"Senior")</f>
        <v>Senior</v>
      </c>
      <c r="H565" s="4" t="s">
        <v>24</v>
      </c>
      <c r="I565" s="4">
        <v>2</v>
      </c>
      <c r="J565" s="11">
        <v>50</v>
      </c>
      <c r="K565" s="13">
        <f>I565*J565</f>
        <v>100</v>
      </c>
      <c r="L565" s="19">
        <f t="shared" si="25"/>
        <v>1.5</v>
      </c>
      <c r="M565" s="19">
        <f t="shared" si="26"/>
        <v>2</v>
      </c>
      <c r="N565" s="13" cm="1">
        <f t="array" ref="N565">_xlfn.IFS(C565=2023,K565*$P$2,C565=2024,K565*$P$3)</f>
        <v>1.5</v>
      </c>
    </row>
    <row r="566" spans="1:14">
      <c r="A566" s="2">
        <v>565</v>
      </c>
      <c r="B566" s="3">
        <v>45237</v>
      </c>
      <c r="C566" s="4">
        <f t="shared" si="24"/>
        <v>2023</v>
      </c>
      <c r="D566" s="4" t="s">
        <v>612</v>
      </c>
      <c r="E566" s="4" t="s">
        <v>20</v>
      </c>
      <c r="F566" s="4">
        <v>45</v>
      </c>
      <c r="G566" s="4" t="str" cm="1">
        <f t="array" ref="G566">_xlfn.IFS(F566&lt;30,"Young Adult",F566&lt;50,"Adult",F566&gt;=50,"Senior")</f>
        <v>Adult</v>
      </c>
      <c r="H566" s="4" t="s">
        <v>17</v>
      </c>
      <c r="I566" s="4">
        <v>2</v>
      </c>
      <c r="J566" s="11">
        <v>30</v>
      </c>
      <c r="K566" s="13">
        <f>I566*J566</f>
        <v>60</v>
      </c>
      <c r="L566" s="19">
        <f t="shared" si="25"/>
        <v>0.89999999999999991</v>
      </c>
      <c r="M566" s="19">
        <f t="shared" si="26"/>
        <v>1.2</v>
      </c>
      <c r="N566" s="13" cm="1">
        <f t="array" ref="N566">_xlfn.IFS(C566=2023,K566*$P$2,C566=2024,K566*$P$3)</f>
        <v>0.89999999999999991</v>
      </c>
    </row>
    <row r="567" spans="1:14">
      <c r="A567" s="2">
        <v>566</v>
      </c>
      <c r="B567" s="3">
        <v>45262</v>
      </c>
      <c r="C567" s="4">
        <f t="shared" si="24"/>
        <v>2023</v>
      </c>
      <c r="D567" s="4" t="s">
        <v>613</v>
      </c>
      <c r="E567" s="4" t="s">
        <v>20</v>
      </c>
      <c r="F567" s="4">
        <v>64</v>
      </c>
      <c r="G567" s="4" t="str" cm="1">
        <f t="array" ref="G567">_xlfn.IFS(F567&lt;30,"Young Adult",F567&lt;50,"Adult",F567&gt;=50,"Senior")</f>
        <v>Senior</v>
      </c>
      <c r="H567" s="4" t="s">
        <v>21</v>
      </c>
      <c r="I567" s="4">
        <v>1</v>
      </c>
      <c r="J567" s="11">
        <v>30</v>
      </c>
      <c r="K567" s="13">
        <f>I567*J567</f>
        <v>30</v>
      </c>
      <c r="L567" s="19">
        <f t="shared" si="25"/>
        <v>0.44999999999999996</v>
      </c>
      <c r="M567" s="19">
        <f t="shared" si="26"/>
        <v>0.6</v>
      </c>
      <c r="N567" s="13" cm="1">
        <f t="array" ref="N567">_xlfn.IFS(C567=2023,K567*$P$2,C567=2024,K567*$P$3)</f>
        <v>0.44999999999999996</v>
      </c>
    </row>
    <row r="568" spans="1:14">
      <c r="A568" s="2">
        <v>567</v>
      </c>
      <c r="B568" s="3">
        <v>45091</v>
      </c>
      <c r="C568" s="4">
        <f t="shared" si="24"/>
        <v>2023</v>
      </c>
      <c r="D568" s="4" t="s">
        <v>614</v>
      </c>
      <c r="E568" s="4" t="s">
        <v>20</v>
      </c>
      <c r="F568" s="4">
        <v>25</v>
      </c>
      <c r="G568" s="4" t="str" cm="1">
        <f t="array" ref="G568">_xlfn.IFS(F568&lt;30,"Young Adult",F568&lt;50,"Adult",F568&gt;=50,"Senior")</f>
        <v>Young Adult</v>
      </c>
      <c r="H568" s="4" t="s">
        <v>21</v>
      </c>
      <c r="I568" s="4">
        <v>3</v>
      </c>
      <c r="J568" s="11">
        <v>300</v>
      </c>
      <c r="K568" s="13">
        <f>I568*J568</f>
        <v>900</v>
      </c>
      <c r="L568" s="19">
        <f t="shared" si="25"/>
        <v>13.5</v>
      </c>
      <c r="M568" s="19">
        <f t="shared" si="26"/>
        <v>18</v>
      </c>
      <c r="N568" s="13" cm="1">
        <f t="array" ref="N568">_xlfn.IFS(C568=2023,K568*$P$2,C568=2024,K568*$P$3)</f>
        <v>13.5</v>
      </c>
    </row>
    <row r="569" spans="1:14">
      <c r="A569" s="2">
        <v>568</v>
      </c>
      <c r="B569" s="3">
        <v>45165</v>
      </c>
      <c r="C569" s="4">
        <f t="shared" si="24"/>
        <v>2023</v>
      </c>
      <c r="D569" s="4" t="s">
        <v>615</v>
      </c>
      <c r="E569" s="4" t="s">
        <v>20</v>
      </c>
      <c r="F569" s="4">
        <v>51</v>
      </c>
      <c r="G569" s="4" t="str" cm="1">
        <f t="array" ref="G569">_xlfn.IFS(F569&lt;30,"Young Adult",F569&lt;50,"Adult",F569&gt;=50,"Senior")</f>
        <v>Senior</v>
      </c>
      <c r="H569" s="4" t="s">
        <v>24</v>
      </c>
      <c r="I569" s="4">
        <v>1</v>
      </c>
      <c r="J569" s="11">
        <v>300</v>
      </c>
      <c r="K569" s="13">
        <f>I569*J569</f>
        <v>300</v>
      </c>
      <c r="L569" s="19">
        <f t="shared" si="25"/>
        <v>4.5</v>
      </c>
      <c r="M569" s="19">
        <f t="shared" si="26"/>
        <v>6</v>
      </c>
      <c r="N569" s="13" cm="1">
        <f t="array" ref="N569">_xlfn.IFS(C569=2023,K569*$P$2,C569=2024,K569*$P$3)</f>
        <v>4.5</v>
      </c>
    </row>
    <row r="570" spans="1:14">
      <c r="A570" s="2">
        <v>569</v>
      </c>
      <c r="B570" s="3">
        <v>45153</v>
      </c>
      <c r="C570" s="4">
        <f t="shared" si="24"/>
        <v>2023</v>
      </c>
      <c r="D570" s="4" t="s">
        <v>616</v>
      </c>
      <c r="E570" s="4" t="s">
        <v>16</v>
      </c>
      <c r="F570" s="4">
        <v>52</v>
      </c>
      <c r="G570" s="4" t="str" cm="1">
        <f t="array" ref="G570">_xlfn.IFS(F570&lt;30,"Young Adult",F570&lt;50,"Adult",F570&gt;=50,"Senior")</f>
        <v>Senior</v>
      </c>
      <c r="H570" s="4" t="s">
        <v>24</v>
      </c>
      <c r="I570" s="4">
        <v>4</v>
      </c>
      <c r="J570" s="11">
        <v>50</v>
      </c>
      <c r="K570" s="13">
        <f>I570*J570</f>
        <v>200</v>
      </c>
      <c r="L570" s="19">
        <f t="shared" si="25"/>
        <v>3</v>
      </c>
      <c r="M570" s="19">
        <f t="shared" si="26"/>
        <v>4</v>
      </c>
      <c r="N570" s="13" cm="1">
        <f t="array" ref="N570">_xlfn.IFS(C570=2023,K570*$P$2,C570=2024,K570*$P$3)</f>
        <v>3</v>
      </c>
    </row>
    <row r="571" spans="1:14">
      <c r="A571" s="2">
        <v>570</v>
      </c>
      <c r="B571" s="3">
        <v>45153</v>
      </c>
      <c r="C571" s="4">
        <f t="shared" si="24"/>
        <v>2023</v>
      </c>
      <c r="D571" s="4" t="s">
        <v>617</v>
      </c>
      <c r="E571" s="4" t="s">
        <v>16</v>
      </c>
      <c r="F571" s="4">
        <v>49</v>
      </c>
      <c r="G571" s="4" t="str" cm="1">
        <f t="array" ref="G571">_xlfn.IFS(F571&lt;30,"Young Adult",F571&lt;50,"Adult",F571&gt;=50,"Senior")</f>
        <v>Adult</v>
      </c>
      <c r="H571" s="4" t="s">
        <v>21</v>
      </c>
      <c r="I571" s="4">
        <v>1</v>
      </c>
      <c r="J571" s="11">
        <v>500</v>
      </c>
      <c r="K571" s="13">
        <f>I571*J571</f>
        <v>500</v>
      </c>
      <c r="L571" s="19">
        <f t="shared" si="25"/>
        <v>7.5</v>
      </c>
      <c r="M571" s="19">
        <f t="shared" si="26"/>
        <v>10</v>
      </c>
      <c r="N571" s="13" cm="1">
        <f t="array" ref="N571">_xlfn.IFS(C571=2023,K571*$P$2,C571=2024,K571*$P$3)</f>
        <v>7.5</v>
      </c>
    </row>
    <row r="572" spans="1:14">
      <c r="A572" s="2">
        <v>571</v>
      </c>
      <c r="B572" s="3">
        <v>45272</v>
      </c>
      <c r="C572" s="4">
        <f t="shared" si="24"/>
        <v>2023</v>
      </c>
      <c r="D572" s="4" t="s">
        <v>618</v>
      </c>
      <c r="E572" s="4" t="s">
        <v>20</v>
      </c>
      <c r="F572" s="4">
        <v>41</v>
      </c>
      <c r="G572" s="4" t="str" cm="1">
        <f t="array" ref="G572">_xlfn.IFS(F572&lt;30,"Young Adult",F572&lt;50,"Adult",F572&gt;=50,"Senior")</f>
        <v>Adult</v>
      </c>
      <c r="H572" s="4" t="s">
        <v>24</v>
      </c>
      <c r="I572" s="4">
        <v>1</v>
      </c>
      <c r="J572" s="11">
        <v>50</v>
      </c>
      <c r="K572" s="13">
        <f>I572*J572</f>
        <v>50</v>
      </c>
      <c r="L572" s="19">
        <f t="shared" si="25"/>
        <v>0.75</v>
      </c>
      <c r="M572" s="19">
        <f t="shared" si="26"/>
        <v>1</v>
      </c>
      <c r="N572" s="13" cm="1">
        <f t="array" ref="N572">_xlfn.IFS(C572=2023,K572*$P$2,C572=2024,K572*$P$3)</f>
        <v>0.75</v>
      </c>
    </row>
    <row r="573" spans="1:14">
      <c r="A573" s="2">
        <v>572</v>
      </c>
      <c r="B573" s="3">
        <v>45036</v>
      </c>
      <c r="C573" s="4">
        <f t="shared" si="24"/>
        <v>2023</v>
      </c>
      <c r="D573" s="4" t="s">
        <v>619</v>
      </c>
      <c r="E573" s="4" t="s">
        <v>16</v>
      </c>
      <c r="F573" s="4">
        <v>31</v>
      </c>
      <c r="G573" s="4" t="str" cm="1">
        <f t="array" ref="G573">_xlfn.IFS(F573&lt;30,"Young Adult",F573&lt;50,"Adult",F573&gt;=50,"Senior")</f>
        <v>Adult</v>
      </c>
      <c r="H573" s="4" t="s">
        <v>21</v>
      </c>
      <c r="I573" s="4">
        <v>4</v>
      </c>
      <c r="J573" s="11">
        <v>500</v>
      </c>
      <c r="K573" s="13">
        <f>I573*J573</f>
        <v>2000</v>
      </c>
      <c r="L573" s="19">
        <f t="shared" si="25"/>
        <v>30</v>
      </c>
      <c r="M573" s="19">
        <f t="shared" si="26"/>
        <v>40</v>
      </c>
      <c r="N573" s="13" cm="1">
        <f t="array" ref="N573">_xlfn.IFS(C573=2023,K573*$P$2,C573=2024,K573*$P$3)</f>
        <v>30</v>
      </c>
    </row>
    <row r="574" spans="1:14">
      <c r="A574" s="2">
        <v>573</v>
      </c>
      <c r="B574" s="3">
        <v>45188</v>
      </c>
      <c r="C574" s="4">
        <f t="shared" si="24"/>
        <v>2023</v>
      </c>
      <c r="D574" s="4" t="s">
        <v>620</v>
      </c>
      <c r="E574" s="4" t="s">
        <v>16</v>
      </c>
      <c r="F574" s="4">
        <v>49</v>
      </c>
      <c r="G574" s="4" t="str" cm="1">
        <f t="array" ref="G574">_xlfn.IFS(F574&lt;30,"Young Adult",F574&lt;50,"Adult",F574&gt;=50,"Senior")</f>
        <v>Adult</v>
      </c>
      <c r="H574" s="4" t="s">
        <v>17</v>
      </c>
      <c r="I574" s="4">
        <v>2</v>
      </c>
      <c r="J574" s="11">
        <v>30</v>
      </c>
      <c r="K574" s="13">
        <f>I574*J574</f>
        <v>60</v>
      </c>
      <c r="L574" s="19">
        <f t="shared" si="25"/>
        <v>0.89999999999999991</v>
      </c>
      <c r="M574" s="19">
        <f t="shared" si="26"/>
        <v>1.2</v>
      </c>
      <c r="N574" s="13" cm="1">
        <f t="array" ref="N574">_xlfn.IFS(C574=2023,K574*$P$2,C574=2024,K574*$P$3)</f>
        <v>0.89999999999999991</v>
      </c>
    </row>
    <row r="575" spans="1:14">
      <c r="A575" s="2">
        <v>574</v>
      </c>
      <c r="B575" s="3">
        <v>45169</v>
      </c>
      <c r="C575" s="4">
        <f t="shared" si="24"/>
        <v>2023</v>
      </c>
      <c r="D575" s="4" t="s">
        <v>621</v>
      </c>
      <c r="E575" s="4" t="s">
        <v>20</v>
      </c>
      <c r="F575" s="4">
        <v>63</v>
      </c>
      <c r="G575" s="4" t="str" cm="1">
        <f t="array" ref="G575">_xlfn.IFS(F575&lt;30,"Young Adult",F575&lt;50,"Adult",F575&gt;=50,"Senior")</f>
        <v>Senior</v>
      </c>
      <c r="H575" s="4" t="s">
        <v>24</v>
      </c>
      <c r="I575" s="4">
        <v>2</v>
      </c>
      <c r="J575" s="11">
        <v>25</v>
      </c>
      <c r="K575" s="13">
        <f>I575*J575</f>
        <v>50</v>
      </c>
      <c r="L575" s="19">
        <f t="shared" si="25"/>
        <v>0.75</v>
      </c>
      <c r="M575" s="19">
        <f t="shared" si="26"/>
        <v>1</v>
      </c>
      <c r="N575" s="13" cm="1">
        <f t="array" ref="N575">_xlfn.IFS(C575=2023,K575*$P$2,C575=2024,K575*$P$3)</f>
        <v>0.75</v>
      </c>
    </row>
    <row r="576" spans="1:14">
      <c r="A576" s="2">
        <v>575</v>
      </c>
      <c r="B576" s="3">
        <v>45013</v>
      </c>
      <c r="C576" s="4">
        <f t="shared" si="24"/>
        <v>2023</v>
      </c>
      <c r="D576" s="4" t="s">
        <v>622</v>
      </c>
      <c r="E576" s="4" t="s">
        <v>16</v>
      </c>
      <c r="F576" s="4">
        <v>60</v>
      </c>
      <c r="G576" s="4" t="str" cm="1">
        <f t="array" ref="G576">_xlfn.IFS(F576&lt;30,"Young Adult",F576&lt;50,"Adult",F576&gt;=50,"Senior")</f>
        <v>Senior</v>
      </c>
      <c r="H576" s="4" t="s">
        <v>21</v>
      </c>
      <c r="I576" s="4">
        <v>2</v>
      </c>
      <c r="J576" s="11">
        <v>50</v>
      </c>
      <c r="K576" s="13">
        <f>I576*J576</f>
        <v>100</v>
      </c>
      <c r="L576" s="19">
        <f t="shared" si="25"/>
        <v>1.5</v>
      </c>
      <c r="M576" s="19">
        <f t="shared" si="26"/>
        <v>2</v>
      </c>
      <c r="N576" s="13" cm="1">
        <f t="array" ref="N576">_xlfn.IFS(C576=2023,K576*$P$2,C576=2024,K576*$P$3)</f>
        <v>1.5</v>
      </c>
    </row>
    <row r="577" spans="1:14">
      <c r="A577" s="2">
        <v>576</v>
      </c>
      <c r="B577" s="3">
        <v>45264</v>
      </c>
      <c r="C577" s="4">
        <f t="shared" si="24"/>
        <v>2023</v>
      </c>
      <c r="D577" s="4" t="s">
        <v>623</v>
      </c>
      <c r="E577" s="4" t="s">
        <v>20</v>
      </c>
      <c r="F577" s="4">
        <v>33</v>
      </c>
      <c r="G577" s="4" t="str" cm="1">
        <f t="array" ref="G577">_xlfn.IFS(F577&lt;30,"Young Adult",F577&lt;50,"Adult",F577&gt;=50,"Senior")</f>
        <v>Adult</v>
      </c>
      <c r="H577" s="4" t="s">
        <v>17</v>
      </c>
      <c r="I577" s="4">
        <v>3</v>
      </c>
      <c r="J577" s="11">
        <v>50</v>
      </c>
      <c r="K577" s="13">
        <f>I577*J577</f>
        <v>150</v>
      </c>
      <c r="L577" s="19">
        <f t="shared" si="25"/>
        <v>2.25</v>
      </c>
      <c r="M577" s="19">
        <f t="shared" si="26"/>
        <v>3</v>
      </c>
      <c r="N577" s="13" cm="1">
        <f t="array" ref="N577">_xlfn.IFS(C577=2023,K577*$P$2,C577=2024,K577*$P$3)</f>
        <v>2.25</v>
      </c>
    </row>
    <row r="578" spans="1:14">
      <c r="A578" s="2">
        <v>577</v>
      </c>
      <c r="B578" s="3">
        <v>44970</v>
      </c>
      <c r="C578" s="4">
        <f t="shared" si="24"/>
        <v>2023</v>
      </c>
      <c r="D578" s="4" t="s">
        <v>624</v>
      </c>
      <c r="E578" s="4" t="s">
        <v>16</v>
      </c>
      <c r="F578" s="4">
        <v>21</v>
      </c>
      <c r="G578" s="4" t="str" cm="1">
        <f t="array" ref="G578">_xlfn.IFS(F578&lt;30,"Young Adult",F578&lt;50,"Adult",F578&gt;=50,"Senior")</f>
        <v>Young Adult</v>
      </c>
      <c r="H578" s="4" t="s">
        <v>17</v>
      </c>
      <c r="I578" s="4">
        <v>4</v>
      </c>
      <c r="J578" s="11">
        <v>500</v>
      </c>
      <c r="K578" s="13">
        <f>I578*J578</f>
        <v>2000</v>
      </c>
      <c r="L578" s="19">
        <f t="shared" si="25"/>
        <v>30</v>
      </c>
      <c r="M578" s="19">
        <f t="shared" si="26"/>
        <v>40</v>
      </c>
      <c r="N578" s="13" cm="1">
        <f t="array" ref="N578">_xlfn.IFS(C578=2023,K578*$P$2,C578=2024,K578*$P$3)</f>
        <v>30</v>
      </c>
    </row>
    <row r="579" spans="1:14">
      <c r="A579" s="2">
        <v>578</v>
      </c>
      <c r="B579" s="3">
        <v>45072</v>
      </c>
      <c r="C579" s="4">
        <f t="shared" ref="C579:C642" si="27">YEAR(B579)</f>
        <v>2023</v>
      </c>
      <c r="D579" s="4" t="s">
        <v>625</v>
      </c>
      <c r="E579" s="4" t="s">
        <v>20</v>
      </c>
      <c r="F579" s="4">
        <v>54</v>
      </c>
      <c r="G579" s="4" t="str" cm="1">
        <f t="array" ref="G579">_xlfn.IFS(F579&lt;30,"Young Adult",F579&lt;50,"Adult",F579&gt;=50,"Senior")</f>
        <v>Senior</v>
      </c>
      <c r="H579" s="4" t="s">
        <v>21</v>
      </c>
      <c r="I579" s="4">
        <v>4</v>
      </c>
      <c r="J579" s="11">
        <v>30</v>
      </c>
      <c r="K579" s="13">
        <f>I579*J579</f>
        <v>120</v>
      </c>
      <c r="L579" s="19">
        <f t="shared" ref="L579:L642" si="28">K579*$P$2</f>
        <v>1.7999999999999998</v>
      </c>
      <c r="M579" s="19">
        <f t="shared" ref="M579:M642" si="29">K579*$P$3</f>
        <v>2.4</v>
      </c>
      <c r="N579" s="13" cm="1">
        <f t="array" ref="N579">_xlfn.IFS(C579=2023,K579*$P$2,C579=2024,K579*$P$3)</f>
        <v>1.7999999999999998</v>
      </c>
    </row>
    <row r="580" spans="1:14">
      <c r="A580" s="2">
        <v>579</v>
      </c>
      <c r="B580" s="3">
        <v>45190</v>
      </c>
      <c r="C580" s="4">
        <f t="shared" si="27"/>
        <v>2023</v>
      </c>
      <c r="D580" s="4" t="s">
        <v>626</v>
      </c>
      <c r="E580" s="4" t="s">
        <v>20</v>
      </c>
      <c r="F580" s="4">
        <v>38</v>
      </c>
      <c r="G580" s="4" t="str" cm="1">
        <f t="array" ref="G580">_xlfn.IFS(F580&lt;30,"Young Adult",F580&lt;50,"Adult",F580&gt;=50,"Senior")</f>
        <v>Adult</v>
      </c>
      <c r="H580" s="4" t="s">
        <v>24</v>
      </c>
      <c r="I580" s="4">
        <v>1</v>
      </c>
      <c r="J580" s="11">
        <v>30</v>
      </c>
      <c r="K580" s="13">
        <f>I580*J580</f>
        <v>30</v>
      </c>
      <c r="L580" s="19">
        <f t="shared" si="28"/>
        <v>0.44999999999999996</v>
      </c>
      <c r="M580" s="19">
        <f t="shared" si="29"/>
        <v>0.6</v>
      </c>
      <c r="N580" s="13" cm="1">
        <f t="array" ref="N580">_xlfn.IFS(C580=2023,K580*$P$2,C580=2024,K580*$P$3)</f>
        <v>0.44999999999999996</v>
      </c>
    </row>
    <row r="581" spans="1:14">
      <c r="A581" s="2">
        <v>580</v>
      </c>
      <c r="B581" s="3">
        <v>45266</v>
      </c>
      <c r="C581" s="4">
        <f t="shared" si="27"/>
        <v>2023</v>
      </c>
      <c r="D581" s="4" t="s">
        <v>627</v>
      </c>
      <c r="E581" s="4" t="s">
        <v>20</v>
      </c>
      <c r="F581" s="4">
        <v>31</v>
      </c>
      <c r="G581" s="4" t="str" cm="1">
        <f t="array" ref="G581">_xlfn.IFS(F581&lt;30,"Young Adult",F581&lt;50,"Adult",F581&gt;=50,"Senior")</f>
        <v>Adult</v>
      </c>
      <c r="H581" s="4" t="s">
        <v>21</v>
      </c>
      <c r="I581" s="4">
        <v>3</v>
      </c>
      <c r="J581" s="11">
        <v>500</v>
      </c>
      <c r="K581" s="13">
        <f>I581*J581</f>
        <v>1500</v>
      </c>
      <c r="L581" s="19">
        <f t="shared" si="28"/>
        <v>22.5</v>
      </c>
      <c r="M581" s="19">
        <f t="shared" si="29"/>
        <v>30</v>
      </c>
      <c r="N581" s="13" cm="1">
        <f t="array" ref="N581">_xlfn.IFS(C581=2023,K581*$P$2,C581=2024,K581*$P$3)</f>
        <v>22.5</v>
      </c>
    </row>
    <row r="582" spans="1:14">
      <c r="A582" s="2">
        <v>581</v>
      </c>
      <c r="B582" s="3">
        <v>45251</v>
      </c>
      <c r="C582" s="4">
        <f t="shared" si="27"/>
        <v>2023</v>
      </c>
      <c r="D582" s="4" t="s">
        <v>628</v>
      </c>
      <c r="E582" s="4" t="s">
        <v>20</v>
      </c>
      <c r="F582" s="4">
        <v>48</v>
      </c>
      <c r="G582" s="4" t="str" cm="1">
        <f t="array" ref="G582">_xlfn.IFS(F582&lt;30,"Young Adult",F582&lt;50,"Adult",F582&gt;=50,"Senior")</f>
        <v>Adult</v>
      </c>
      <c r="H582" s="4" t="s">
        <v>17</v>
      </c>
      <c r="I582" s="4">
        <v>2</v>
      </c>
      <c r="J582" s="11">
        <v>30</v>
      </c>
      <c r="K582" s="13">
        <f>I582*J582</f>
        <v>60</v>
      </c>
      <c r="L582" s="19">
        <f t="shared" si="28"/>
        <v>0.89999999999999991</v>
      </c>
      <c r="M582" s="19">
        <f t="shared" si="29"/>
        <v>1.2</v>
      </c>
      <c r="N582" s="13" cm="1">
        <f t="array" ref="N582">_xlfn.IFS(C582=2023,K582*$P$2,C582=2024,K582*$P$3)</f>
        <v>0.89999999999999991</v>
      </c>
    </row>
    <row r="583" spans="1:14">
      <c r="A583" s="2">
        <v>582</v>
      </c>
      <c r="B583" s="3">
        <v>45244</v>
      </c>
      <c r="C583" s="4">
        <f t="shared" si="27"/>
        <v>2023</v>
      </c>
      <c r="D583" s="4" t="s">
        <v>629</v>
      </c>
      <c r="E583" s="4" t="s">
        <v>16</v>
      </c>
      <c r="F583" s="4">
        <v>35</v>
      </c>
      <c r="G583" s="4" t="str" cm="1">
        <f t="array" ref="G583">_xlfn.IFS(F583&lt;30,"Young Adult",F583&lt;50,"Adult",F583&gt;=50,"Senior")</f>
        <v>Adult</v>
      </c>
      <c r="H583" s="4" t="s">
        <v>21</v>
      </c>
      <c r="I583" s="4">
        <v>3</v>
      </c>
      <c r="J583" s="11">
        <v>300</v>
      </c>
      <c r="K583" s="13">
        <f>I583*J583</f>
        <v>900</v>
      </c>
      <c r="L583" s="19">
        <f t="shared" si="28"/>
        <v>13.5</v>
      </c>
      <c r="M583" s="19">
        <f t="shared" si="29"/>
        <v>18</v>
      </c>
      <c r="N583" s="13" cm="1">
        <f t="array" ref="N583">_xlfn.IFS(C583=2023,K583*$P$2,C583=2024,K583*$P$3)</f>
        <v>13.5</v>
      </c>
    </row>
    <row r="584" spans="1:14">
      <c r="A584" s="2">
        <v>583</v>
      </c>
      <c r="B584" s="3">
        <v>45098</v>
      </c>
      <c r="C584" s="4">
        <f t="shared" si="27"/>
        <v>2023</v>
      </c>
      <c r="D584" s="4" t="s">
        <v>630</v>
      </c>
      <c r="E584" s="4" t="s">
        <v>20</v>
      </c>
      <c r="F584" s="4">
        <v>24</v>
      </c>
      <c r="G584" s="4" t="str" cm="1">
        <f t="array" ref="G584">_xlfn.IFS(F584&lt;30,"Young Adult",F584&lt;50,"Adult",F584&gt;=50,"Senior")</f>
        <v>Young Adult</v>
      </c>
      <c r="H584" s="4" t="s">
        <v>24</v>
      </c>
      <c r="I584" s="4">
        <v>4</v>
      </c>
      <c r="J584" s="11">
        <v>25</v>
      </c>
      <c r="K584" s="13">
        <f>I584*J584</f>
        <v>100</v>
      </c>
      <c r="L584" s="19">
        <f t="shared" si="28"/>
        <v>1.5</v>
      </c>
      <c r="M584" s="19">
        <f t="shared" si="29"/>
        <v>2</v>
      </c>
      <c r="N584" s="13" cm="1">
        <f t="array" ref="N584">_xlfn.IFS(C584=2023,K584*$P$2,C584=2024,K584*$P$3)</f>
        <v>1.5</v>
      </c>
    </row>
    <row r="585" spans="1:14">
      <c r="A585" s="2">
        <v>584</v>
      </c>
      <c r="B585" s="3">
        <v>44974</v>
      </c>
      <c r="C585" s="4">
        <f t="shared" si="27"/>
        <v>2023</v>
      </c>
      <c r="D585" s="4" t="s">
        <v>631</v>
      </c>
      <c r="E585" s="4" t="s">
        <v>20</v>
      </c>
      <c r="F585" s="4">
        <v>27</v>
      </c>
      <c r="G585" s="4" t="str" cm="1">
        <f t="array" ref="G585">_xlfn.IFS(F585&lt;30,"Young Adult",F585&lt;50,"Adult",F585&gt;=50,"Senior")</f>
        <v>Young Adult</v>
      </c>
      <c r="H585" s="4" t="s">
        <v>17</v>
      </c>
      <c r="I585" s="4">
        <v>4</v>
      </c>
      <c r="J585" s="11">
        <v>50</v>
      </c>
      <c r="K585" s="13">
        <f>I585*J585</f>
        <v>200</v>
      </c>
      <c r="L585" s="19">
        <f t="shared" si="28"/>
        <v>3</v>
      </c>
      <c r="M585" s="19">
        <f t="shared" si="29"/>
        <v>4</v>
      </c>
      <c r="N585" s="13" cm="1">
        <f t="array" ref="N585">_xlfn.IFS(C585=2023,K585*$P$2,C585=2024,K585*$P$3)</f>
        <v>3</v>
      </c>
    </row>
    <row r="586" spans="1:14">
      <c r="A586" s="2">
        <v>585</v>
      </c>
      <c r="B586" s="3">
        <v>45047</v>
      </c>
      <c r="C586" s="4">
        <f t="shared" si="27"/>
        <v>2023</v>
      </c>
      <c r="D586" s="4" t="s">
        <v>632</v>
      </c>
      <c r="E586" s="4" t="s">
        <v>20</v>
      </c>
      <c r="F586" s="4">
        <v>24</v>
      </c>
      <c r="G586" s="4" t="str" cm="1">
        <f t="array" ref="G586">_xlfn.IFS(F586&lt;30,"Young Adult",F586&lt;50,"Adult",F586&gt;=50,"Senior")</f>
        <v>Young Adult</v>
      </c>
      <c r="H586" s="4" t="s">
        <v>21</v>
      </c>
      <c r="I586" s="4">
        <v>1</v>
      </c>
      <c r="J586" s="11">
        <v>25</v>
      </c>
      <c r="K586" s="13">
        <f>I586*J586</f>
        <v>25</v>
      </c>
      <c r="L586" s="19">
        <f t="shared" si="28"/>
        <v>0.375</v>
      </c>
      <c r="M586" s="19">
        <f t="shared" si="29"/>
        <v>0.5</v>
      </c>
      <c r="N586" s="13" cm="1">
        <f t="array" ref="N586">_xlfn.IFS(C586=2023,K586*$P$2,C586=2024,K586*$P$3)</f>
        <v>0.375</v>
      </c>
    </row>
    <row r="587" spans="1:14">
      <c r="A587" s="2">
        <v>586</v>
      </c>
      <c r="B587" s="3">
        <v>45271</v>
      </c>
      <c r="C587" s="4">
        <f t="shared" si="27"/>
        <v>2023</v>
      </c>
      <c r="D587" s="4" t="s">
        <v>633</v>
      </c>
      <c r="E587" s="4" t="s">
        <v>16</v>
      </c>
      <c r="F587" s="4">
        <v>50</v>
      </c>
      <c r="G587" s="4" t="str" cm="1">
        <f t="array" ref="G587">_xlfn.IFS(F587&lt;30,"Young Adult",F587&lt;50,"Adult",F587&gt;=50,"Senior")</f>
        <v>Senior</v>
      </c>
      <c r="H587" s="4" t="s">
        <v>24</v>
      </c>
      <c r="I587" s="4">
        <v>1</v>
      </c>
      <c r="J587" s="11">
        <v>50</v>
      </c>
      <c r="K587" s="13">
        <f>I587*J587</f>
        <v>50</v>
      </c>
      <c r="L587" s="19">
        <f t="shared" si="28"/>
        <v>0.75</v>
      </c>
      <c r="M587" s="19">
        <f t="shared" si="29"/>
        <v>1</v>
      </c>
      <c r="N587" s="13" cm="1">
        <f t="array" ref="N587">_xlfn.IFS(C587=2023,K587*$P$2,C587=2024,K587*$P$3)</f>
        <v>0.75</v>
      </c>
    </row>
    <row r="588" spans="1:14">
      <c r="A588" s="2">
        <v>587</v>
      </c>
      <c r="B588" s="3">
        <v>45085</v>
      </c>
      <c r="C588" s="4">
        <f t="shared" si="27"/>
        <v>2023</v>
      </c>
      <c r="D588" s="4" t="s">
        <v>634</v>
      </c>
      <c r="E588" s="4" t="s">
        <v>20</v>
      </c>
      <c r="F588" s="4">
        <v>40</v>
      </c>
      <c r="G588" s="4" t="str" cm="1">
        <f t="array" ref="G588">_xlfn.IFS(F588&lt;30,"Young Adult",F588&lt;50,"Adult",F588&gt;=50,"Senior")</f>
        <v>Adult</v>
      </c>
      <c r="H588" s="4" t="s">
        <v>17</v>
      </c>
      <c r="I588" s="4">
        <v>4</v>
      </c>
      <c r="J588" s="11">
        <v>300</v>
      </c>
      <c r="K588" s="13">
        <f>I588*J588</f>
        <v>1200</v>
      </c>
      <c r="L588" s="19">
        <f t="shared" si="28"/>
        <v>18</v>
      </c>
      <c r="M588" s="19">
        <f t="shared" si="29"/>
        <v>24</v>
      </c>
      <c r="N588" s="13" cm="1">
        <f t="array" ref="N588">_xlfn.IFS(C588=2023,K588*$P$2,C588=2024,K588*$P$3)</f>
        <v>18</v>
      </c>
    </row>
    <row r="589" spans="1:14">
      <c r="A589" s="2">
        <v>588</v>
      </c>
      <c r="B589" s="3">
        <v>45042</v>
      </c>
      <c r="C589" s="4">
        <f t="shared" si="27"/>
        <v>2023</v>
      </c>
      <c r="D589" s="4" t="s">
        <v>635</v>
      </c>
      <c r="E589" s="4" t="s">
        <v>16</v>
      </c>
      <c r="F589" s="4">
        <v>38</v>
      </c>
      <c r="G589" s="4" t="str" cm="1">
        <f t="array" ref="G589">_xlfn.IFS(F589&lt;30,"Young Adult",F589&lt;50,"Adult",F589&gt;=50,"Senior")</f>
        <v>Adult</v>
      </c>
      <c r="H589" s="4" t="s">
        <v>24</v>
      </c>
      <c r="I589" s="4">
        <v>2</v>
      </c>
      <c r="J589" s="11">
        <v>30</v>
      </c>
      <c r="K589" s="13">
        <f>I589*J589</f>
        <v>60</v>
      </c>
      <c r="L589" s="19">
        <f t="shared" si="28"/>
        <v>0.89999999999999991</v>
      </c>
      <c r="M589" s="19">
        <f t="shared" si="29"/>
        <v>1.2</v>
      </c>
      <c r="N589" s="13" cm="1">
        <f t="array" ref="N589">_xlfn.IFS(C589=2023,K589*$P$2,C589=2024,K589*$P$3)</f>
        <v>0.89999999999999991</v>
      </c>
    </row>
    <row r="590" spans="1:14">
      <c r="A590" s="2">
        <v>589</v>
      </c>
      <c r="B590" s="3">
        <v>45028</v>
      </c>
      <c r="C590" s="4">
        <f t="shared" si="27"/>
        <v>2023</v>
      </c>
      <c r="D590" s="4" t="s">
        <v>636</v>
      </c>
      <c r="E590" s="4" t="s">
        <v>20</v>
      </c>
      <c r="F590" s="4">
        <v>36</v>
      </c>
      <c r="G590" s="4" t="str" cm="1">
        <f t="array" ref="G590">_xlfn.IFS(F590&lt;30,"Young Adult",F590&lt;50,"Adult",F590&gt;=50,"Senior")</f>
        <v>Adult</v>
      </c>
      <c r="H590" s="4" t="s">
        <v>17</v>
      </c>
      <c r="I590" s="4">
        <v>2</v>
      </c>
      <c r="J590" s="11">
        <v>500</v>
      </c>
      <c r="K590" s="13">
        <f>I590*J590</f>
        <v>1000</v>
      </c>
      <c r="L590" s="19">
        <f t="shared" si="28"/>
        <v>15</v>
      </c>
      <c r="M590" s="19">
        <f t="shared" si="29"/>
        <v>20</v>
      </c>
      <c r="N590" s="13" cm="1">
        <f t="array" ref="N590">_xlfn.IFS(C590=2023,K590*$P$2,C590=2024,K590*$P$3)</f>
        <v>15</v>
      </c>
    </row>
    <row r="591" spans="1:14">
      <c r="A591" s="2">
        <v>590</v>
      </c>
      <c r="B591" s="3">
        <v>45002</v>
      </c>
      <c r="C591" s="4">
        <f t="shared" si="27"/>
        <v>2023</v>
      </c>
      <c r="D591" s="4" t="s">
        <v>637</v>
      </c>
      <c r="E591" s="4" t="s">
        <v>16</v>
      </c>
      <c r="F591" s="4">
        <v>36</v>
      </c>
      <c r="G591" s="4" t="str" cm="1">
        <f t="array" ref="G591">_xlfn.IFS(F591&lt;30,"Young Adult",F591&lt;50,"Adult",F591&gt;=50,"Senior")</f>
        <v>Adult</v>
      </c>
      <c r="H591" s="4" t="s">
        <v>21</v>
      </c>
      <c r="I591" s="4">
        <v>3</v>
      </c>
      <c r="J591" s="11">
        <v>300</v>
      </c>
      <c r="K591" s="13">
        <f>I591*J591</f>
        <v>900</v>
      </c>
      <c r="L591" s="19">
        <f t="shared" si="28"/>
        <v>13.5</v>
      </c>
      <c r="M591" s="19">
        <f t="shared" si="29"/>
        <v>18</v>
      </c>
      <c r="N591" s="13" cm="1">
        <f t="array" ref="N591">_xlfn.IFS(C591=2023,K591*$P$2,C591=2024,K591*$P$3)</f>
        <v>13.5</v>
      </c>
    </row>
    <row r="592" spans="1:14">
      <c r="A592" s="2">
        <v>591</v>
      </c>
      <c r="B592" s="3">
        <v>44939</v>
      </c>
      <c r="C592" s="4">
        <f t="shared" si="27"/>
        <v>2023</v>
      </c>
      <c r="D592" s="4" t="s">
        <v>638</v>
      </c>
      <c r="E592" s="4" t="s">
        <v>16</v>
      </c>
      <c r="F592" s="4">
        <v>53</v>
      </c>
      <c r="G592" s="4" t="str" cm="1">
        <f t="array" ref="G592">_xlfn.IFS(F592&lt;30,"Young Adult",F592&lt;50,"Adult",F592&gt;=50,"Senior")</f>
        <v>Senior</v>
      </c>
      <c r="H592" s="4" t="s">
        <v>24</v>
      </c>
      <c r="I592" s="4">
        <v>4</v>
      </c>
      <c r="J592" s="11">
        <v>25</v>
      </c>
      <c r="K592" s="13">
        <f>I592*J592</f>
        <v>100</v>
      </c>
      <c r="L592" s="19">
        <f t="shared" si="28"/>
        <v>1.5</v>
      </c>
      <c r="M592" s="19">
        <f t="shared" si="29"/>
        <v>2</v>
      </c>
      <c r="N592" s="13" cm="1">
        <f t="array" ref="N592">_xlfn.IFS(C592=2023,K592*$P$2,C592=2024,K592*$P$3)</f>
        <v>1.5</v>
      </c>
    </row>
    <row r="593" spans="1:14">
      <c r="A593" s="2">
        <v>592</v>
      </c>
      <c r="B593" s="3">
        <v>44950</v>
      </c>
      <c r="C593" s="4">
        <f t="shared" si="27"/>
        <v>2023</v>
      </c>
      <c r="D593" s="4" t="s">
        <v>639</v>
      </c>
      <c r="E593" s="4" t="s">
        <v>20</v>
      </c>
      <c r="F593" s="4">
        <v>46</v>
      </c>
      <c r="G593" s="4" t="str" cm="1">
        <f t="array" ref="G593">_xlfn.IFS(F593&lt;30,"Young Adult",F593&lt;50,"Adult",F593&gt;=50,"Senior")</f>
        <v>Adult</v>
      </c>
      <c r="H593" s="4" t="s">
        <v>17</v>
      </c>
      <c r="I593" s="4">
        <v>4</v>
      </c>
      <c r="J593" s="11">
        <v>500</v>
      </c>
      <c r="K593" s="13">
        <f>I593*J593</f>
        <v>2000</v>
      </c>
      <c r="L593" s="19">
        <f t="shared" si="28"/>
        <v>30</v>
      </c>
      <c r="M593" s="19">
        <f t="shared" si="29"/>
        <v>40</v>
      </c>
      <c r="N593" s="13" cm="1">
        <f t="array" ref="N593">_xlfn.IFS(C593=2023,K593*$P$2,C593=2024,K593*$P$3)</f>
        <v>30</v>
      </c>
    </row>
    <row r="594" spans="1:14">
      <c r="A594" s="2">
        <v>593</v>
      </c>
      <c r="B594" s="3">
        <v>45052</v>
      </c>
      <c r="C594" s="4">
        <f t="shared" si="27"/>
        <v>2023</v>
      </c>
      <c r="D594" s="4" t="s">
        <v>640</v>
      </c>
      <c r="E594" s="4" t="s">
        <v>16</v>
      </c>
      <c r="F594" s="4">
        <v>35</v>
      </c>
      <c r="G594" s="4" t="str" cm="1">
        <f t="array" ref="G594">_xlfn.IFS(F594&lt;30,"Young Adult",F594&lt;50,"Adult",F594&gt;=50,"Senior")</f>
        <v>Adult</v>
      </c>
      <c r="H594" s="4" t="s">
        <v>24</v>
      </c>
      <c r="I594" s="4">
        <v>2</v>
      </c>
      <c r="J594" s="11">
        <v>30</v>
      </c>
      <c r="K594" s="13">
        <f>I594*J594</f>
        <v>60</v>
      </c>
      <c r="L594" s="19">
        <f t="shared" si="28"/>
        <v>0.89999999999999991</v>
      </c>
      <c r="M594" s="19">
        <f t="shared" si="29"/>
        <v>1.2</v>
      </c>
      <c r="N594" s="13" cm="1">
        <f t="array" ref="N594">_xlfn.IFS(C594=2023,K594*$P$2,C594=2024,K594*$P$3)</f>
        <v>0.89999999999999991</v>
      </c>
    </row>
    <row r="595" spans="1:14">
      <c r="A595" s="2">
        <v>594</v>
      </c>
      <c r="B595" s="3">
        <v>45170</v>
      </c>
      <c r="C595" s="4">
        <f t="shared" si="27"/>
        <v>2023</v>
      </c>
      <c r="D595" s="4" t="s">
        <v>641</v>
      </c>
      <c r="E595" s="4" t="s">
        <v>20</v>
      </c>
      <c r="F595" s="4">
        <v>19</v>
      </c>
      <c r="G595" s="4" t="str" cm="1">
        <f t="array" ref="G595">_xlfn.IFS(F595&lt;30,"Young Adult",F595&lt;50,"Adult",F595&gt;=50,"Senior")</f>
        <v>Young Adult</v>
      </c>
      <c r="H595" s="4" t="s">
        <v>24</v>
      </c>
      <c r="I595" s="4">
        <v>2</v>
      </c>
      <c r="J595" s="11">
        <v>300</v>
      </c>
      <c r="K595" s="13">
        <f>I595*J595</f>
        <v>600</v>
      </c>
      <c r="L595" s="19">
        <f t="shared" si="28"/>
        <v>9</v>
      </c>
      <c r="M595" s="19">
        <f t="shared" si="29"/>
        <v>12</v>
      </c>
      <c r="N595" s="13" cm="1">
        <f t="array" ref="N595">_xlfn.IFS(C595=2023,K595*$P$2,C595=2024,K595*$P$3)</f>
        <v>9</v>
      </c>
    </row>
    <row r="596" spans="1:14">
      <c r="A596" s="2">
        <v>595</v>
      </c>
      <c r="B596" s="3">
        <v>45239</v>
      </c>
      <c r="C596" s="4">
        <f t="shared" si="27"/>
        <v>2023</v>
      </c>
      <c r="D596" s="4" t="s">
        <v>642</v>
      </c>
      <c r="E596" s="4" t="s">
        <v>20</v>
      </c>
      <c r="F596" s="4">
        <v>18</v>
      </c>
      <c r="G596" s="4" t="str" cm="1">
        <f t="array" ref="G596">_xlfn.IFS(F596&lt;30,"Young Adult",F596&lt;50,"Adult",F596&gt;=50,"Senior")</f>
        <v>Young Adult</v>
      </c>
      <c r="H596" s="4" t="s">
        <v>21</v>
      </c>
      <c r="I596" s="4">
        <v>4</v>
      </c>
      <c r="J596" s="11">
        <v>500</v>
      </c>
      <c r="K596" s="13">
        <f>I596*J596</f>
        <v>2000</v>
      </c>
      <c r="L596" s="19">
        <f t="shared" si="28"/>
        <v>30</v>
      </c>
      <c r="M596" s="19">
        <f t="shared" si="29"/>
        <v>40</v>
      </c>
      <c r="N596" s="13" cm="1">
        <f t="array" ref="N596">_xlfn.IFS(C596=2023,K596*$P$2,C596=2024,K596*$P$3)</f>
        <v>30</v>
      </c>
    </row>
    <row r="597" spans="1:14">
      <c r="A597" s="2">
        <v>596</v>
      </c>
      <c r="B597" s="3">
        <v>44964</v>
      </c>
      <c r="C597" s="4">
        <f t="shared" si="27"/>
        <v>2023</v>
      </c>
      <c r="D597" s="4" t="s">
        <v>643</v>
      </c>
      <c r="E597" s="4" t="s">
        <v>20</v>
      </c>
      <c r="F597" s="4">
        <v>64</v>
      </c>
      <c r="G597" s="4" t="str" cm="1">
        <f t="array" ref="G597">_xlfn.IFS(F597&lt;30,"Young Adult",F597&lt;50,"Adult",F597&gt;=50,"Senior")</f>
        <v>Senior</v>
      </c>
      <c r="H597" s="4" t="s">
        <v>24</v>
      </c>
      <c r="I597" s="4">
        <v>1</v>
      </c>
      <c r="J597" s="11">
        <v>300</v>
      </c>
      <c r="K597" s="13">
        <f>I597*J597</f>
        <v>300</v>
      </c>
      <c r="L597" s="19">
        <f t="shared" si="28"/>
        <v>4.5</v>
      </c>
      <c r="M597" s="19">
        <f t="shared" si="29"/>
        <v>6</v>
      </c>
      <c r="N597" s="13" cm="1">
        <f t="array" ref="N597">_xlfn.IFS(C597=2023,K597*$P$2,C597=2024,K597*$P$3)</f>
        <v>4.5</v>
      </c>
    </row>
    <row r="598" spans="1:14">
      <c r="A598" s="2">
        <v>597</v>
      </c>
      <c r="B598" s="3">
        <v>45160</v>
      </c>
      <c r="C598" s="4">
        <f t="shared" si="27"/>
        <v>2023</v>
      </c>
      <c r="D598" s="4" t="s">
        <v>644</v>
      </c>
      <c r="E598" s="4" t="s">
        <v>16</v>
      </c>
      <c r="F598" s="4">
        <v>22</v>
      </c>
      <c r="G598" s="4" t="str" cm="1">
        <f t="array" ref="G598">_xlfn.IFS(F598&lt;30,"Young Adult",F598&lt;50,"Adult",F598&gt;=50,"Senior")</f>
        <v>Young Adult</v>
      </c>
      <c r="H598" s="4" t="s">
        <v>17</v>
      </c>
      <c r="I598" s="4">
        <v>4</v>
      </c>
      <c r="J598" s="11">
        <v>300</v>
      </c>
      <c r="K598" s="13">
        <f>I598*J598</f>
        <v>1200</v>
      </c>
      <c r="L598" s="19">
        <f t="shared" si="28"/>
        <v>18</v>
      </c>
      <c r="M598" s="19">
        <f t="shared" si="29"/>
        <v>24</v>
      </c>
      <c r="N598" s="13" cm="1">
        <f t="array" ref="N598">_xlfn.IFS(C598=2023,K598*$P$2,C598=2024,K598*$P$3)</f>
        <v>18</v>
      </c>
    </row>
    <row r="599" spans="1:14">
      <c r="A599" s="2">
        <v>598</v>
      </c>
      <c r="B599" s="3">
        <v>45139</v>
      </c>
      <c r="C599" s="4">
        <f t="shared" si="27"/>
        <v>2023</v>
      </c>
      <c r="D599" s="4" t="s">
        <v>645</v>
      </c>
      <c r="E599" s="4" t="s">
        <v>16</v>
      </c>
      <c r="F599" s="4">
        <v>37</v>
      </c>
      <c r="G599" s="4" t="str" cm="1">
        <f t="array" ref="G599">_xlfn.IFS(F599&lt;30,"Young Adult",F599&lt;50,"Adult",F599&gt;=50,"Senior")</f>
        <v>Adult</v>
      </c>
      <c r="H599" s="4" t="s">
        <v>17</v>
      </c>
      <c r="I599" s="4">
        <v>4</v>
      </c>
      <c r="J599" s="11">
        <v>30</v>
      </c>
      <c r="K599" s="13">
        <f>I599*J599</f>
        <v>120</v>
      </c>
      <c r="L599" s="19">
        <f t="shared" si="28"/>
        <v>1.7999999999999998</v>
      </c>
      <c r="M599" s="19">
        <f t="shared" si="29"/>
        <v>2.4</v>
      </c>
      <c r="N599" s="13" cm="1">
        <f t="array" ref="N599">_xlfn.IFS(C599=2023,K599*$P$2,C599=2024,K599*$P$3)</f>
        <v>1.7999999999999998</v>
      </c>
    </row>
    <row r="600" spans="1:14">
      <c r="A600" s="2">
        <v>599</v>
      </c>
      <c r="B600" s="3">
        <v>45249</v>
      </c>
      <c r="C600" s="4">
        <f t="shared" si="27"/>
        <v>2023</v>
      </c>
      <c r="D600" s="4" t="s">
        <v>646</v>
      </c>
      <c r="E600" s="4" t="s">
        <v>20</v>
      </c>
      <c r="F600" s="4">
        <v>28</v>
      </c>
      <c r="G600" s="4" t="str" cm="1">
        <f t="array" ref="G600">_xlfn.IFS(F600&lt;30,"Young Adult",F600&lt;50,"Adult",F600&gt;=50,"Senior")</f>
        <v>Young Adult</v>
      </c>
      <c r="H600" s="4" t="s">
        <v>17</v>
      </c>
      <c r="I600" s="4">
        <v>2</v>
      </c>
      <c r="J600" s="11">
        <v>50</v>
      </c>
      <c r="K600" s="13">
        <f>I600*J600</f>
        <v>100</v>
      </c>
      <c r="L600" s="19">
        <f t="shared" si="28"/>
        <v>1.5</v>
      </c>
      <c r="M600" s="19">
        <f t="shared" si="29"/>
        <v>2</v>
      </c>
      <c r="N600" s="13" cm="1">
        <f t="array" ref="N600">_xlfn.IFS(C600=2023,K600*$P$2,C600=2024,K600*$P$3)</f>
        <v>1.5</v>
      </c>
    </row>
    <row r="601" spans="1:14">
      <c r="A601" s="2">
        <v>600</v>
      </c>
      <c r="B601" s="3">
        <v>45221</v>
      </c>
      <c r="C601" s="4">
        <f t="shared" si="27"/>
        <v>2023</v>
      </c>
      <c r="D601" s="4" t="s">
        <v>647</v>
      </c>
      <c r="E601" s="4" t="s">
        <v>20</v>
      </c>
      <c r="F601" s="4">
        <v>59</v>
      </c>
      <c r="G601" s="4" t="str" cm="1">
        <f t="array" ref="G601">_xlfn.IFS(F601&lt;30,"Young Adult",F601&lt;50,"Adult",F601&gt;=50,"Senior")</f>
        <v>Senior</v>
      </c>
      <c r="H601" s="4" t="s">
        <v>17</v>
      </c>
      <c r="I601" s="4">
        <v>2</v>
      </c>
      <c r="J601" s="11">
        <v>500</v>
      </c>
      <c r="K601" s="13">
        <f>I601*J601</f>
        <v>1000</v>
      </c>
      <c r="L601" s="19">
        <f t="shared" si="28"/>
        <v>15</v>
      </c>
      <c r="M601" s="19">
        <f t="shared" si="29"/>
        <v>20</v>
      </c>
      <c r="N601" s="13" cm="1">
        <f t="array" ref="N601">_xlfn.IFS(C601=2023,K601*$P$2,C601=2024,K601*$P$3)</f>
        <v>15</v>
      </c>
    </row>
    <row r="602" spans="1:14">
      <c r="A602" s="2">
        <v>601</v>
      </c>
      <c r="B602" s="3">
        <v>45026</v>
      </c>
      <c r="C602" s="4">
        <f t="shared" si="27"/>
        <v>2023</v>
      </c>
      <c r="D602" s="4" t="s">
        <v>648</v>
      </c>
      <c r="E602" s="4" t="s">
        <v>16</v>
      </c>
      <c r="F602" s="4">
        <v>19</v>
      </c>
      <c r="G602" s="4" t="str" cm="1">
        <f t="array" ref="G602">_xlfn.IFS(F602&lt;30,"Young Adult",F602&lt;50,"Adult",F602&gt;=50,"Senior")</f>
        <v>Young Adult</v>
      </c>
      <c r="H602" s="4" t="s">
        <v>21</v>
      </c>
      <c r="I602" s="4">
        <v>1</v>
      </c>
      <c r="J602" s="11">
        <v>30</v>
      </c>
      <c r="K602" s="13">
        <f>I602*J602</f>
        <v>30</v>
      </c>
      <c r="L602" s="19">
        <f t="shared" si="28"/>
        <v>0.44999999999999996</v>
      </c>
      <c r="M602" s="19">
        <f t="shared" si="29"/>
        <v>0.6</v>
      </c>
      <c r="N602" s="13" cm="1">
        <f t="array" ref="N602">_xlfn.IFS(C602=2023,K602*$P$2,C602=2024,K602*$P$3)</f>
        <v>0.44999999999999996</v>
      </c>
    </row>
    <row r="603" spans="1:14">
      <c r="A603" s="2">
        <v>602</v>
      </c>
      <c r="B603" s="3">
        <v>45283</v>
      </c>
      <c r="C603" s="4">
        <f t="shared" si="27"/>
        <v>2023</v>
      </c>
      <c r="D603" s="4" t="s">
        <v>649</v>
      </c>
      <c r="E603" s="4" t="s">
        <v>20</v>
      </c>
      <c r="F603" s="4">
        <v>20</v>
      </c>
      <c r="G603" s="4" t="str" cm="1">
        <f t="array" ref="G603">_xlfn.IFS(F603&lt;30,"Young Adult",F603&lt;50,"Adult",F603&gt;=50,"Senior")</f>
        <v>Young Adult</v>
      </c>
      <c r="H603" s="4" t="s">
        <v>24</v>
      </c>
      <c r="I603" s="4">
        <v>1</v>
      </c>
      <c r="J603" s="11">
        <v>300</v>
      </c>
      <c r="K603" s="13">
        <f>I603*J603</f>
        <v>300</v>
      </c>
      <c r="L603" s="19">
        <f t="shared" si="28"/>
        <v>4.5</v>
      </c>
      <c r="M603" s="19">
        <f t="shared" si="29"/>
        <v>6</v>
      </c>
      <c r="N603" s="13" cm="1">
        <f t="array" ref="N603">_xlfn.IFS(C603=2023,K603*$P$2,C603=2024,K603*$P$3)</f>
        <v>4.5</v>
      </c>
    </row>
    <row r="604" spans="1:14">
      <c r="A604" s="2">
        <v>603</v>
      </c>
      <c r="B604" s="3">
        <v>45123</v>
      </c>
      <c r="C604" s="4">
        <f t="shared" si="27"/>
        <v>2023</v>
      </c>
      <c r="D604" s="4" t="s">
        <v>650</v>
      </c>
      <c r="E604" s="4" t="s">
        <v>20</v>
      </c>
      <c r="F604" s="4">
        <v>40</v>
      </c>
      <c r="G604" s="4" t="str" cm="1">
        <f t="array" ref="G604">_xlfn.IFS(F604&lt;30,"Young Adult",F604&lt;50,"Adult",F604&gt;=50,"Senior")</f>
        <v>Adult</v>
      </c>
      <c r="H604" s="4" t="s">
        <v>21</v>
      </c>
      <c r="I604" s="4">
        <v>3</v>
      </c>
      <c r="J604" s="11">
        <v>30</v>
      </c>
      <c r="K604" s="13">
        <f>I604*J604</f>
        <v>90</v>
      </c>
      <c r="L604" s="19">
        <f t="shared" si="28"/>
        <v>1.3499999999999999</v>
      </c>
      <c r="M604" s="19">
        <f t="shared" si="29"/>
        <v>1.8</v>
      </c>
      <c r="N604" s="13" cm="1">
        <f t="array" ref="N604">_xlfn.IFS(C604=2023,K604*$P$2,C604=2024,K604*$P$3)</f>
        <v>1.3499999999999999</v>
      </c>
    </row>
    <row r="605" spans="1:14">
      <c r="A605" s="2">
        <v>604</v>
      </c>
      <c r="B605" s="3">
        <v>45180</v>
      </c>
      <c r="C605" s="4">
        <f t="shared" si="27"/>
        <v>2023</v>
      </c>
      <c r="D605" s="4" t="s">
        <v>651</v>
      </c>
      <c r="E605" s="4" t="s">
        <v>20</v>
      </c>
      <c r="F605" s="4">
        <v>29</v>
      </c>
      <c r="G605" s="4" t="str" cm="1">
        <f t="array" ref="G605">_xlfn.IFS(F605&lt;30,"Young Adult",F605&lt;50,"Adult",F605&gt;=50,"Senior")</f>
        <v>Young Adult</v>
      </c>
      <c r="H605" s="4" t="s">
        <v>24</v>
      </c>
      <c r="I605" s="4">
        <v>4</v>
      </c>
      <c r="J605" s="11">
        <v>50</v>
      </c>
      <c r="K605" s="13">
        <f>I605*J605</f>
        <v>200</v>
      </c>
      <c r="L605" s="19">
        <f t="shared" si="28"/>
        <v>3</v>
      </c>
      <c r="M605" s="19">
        <f t="shared" si="29"/>
        <v>4</v>
      </c>
      <c r="N605" s="13" cm="1">
        <f t="array" ref="N605">_xlfn.IFS(C605=2023,K605*$P$2,C605=2024,K605*$P$3)</f>
        <v>3</v>
      </c>
    </row>
    <row r="606" spans="1:14">
      <c r="A606" s="2">
        <v>605</v>
      </c>
      <c r="B606" s="3">
        <v>45131</v>
      </c>
      <c r="C606" s="4">
        <f t="shared" si="27"/>
        <v>2023</v>
      </c>
      <c r="D606" s="4" t="s">
        <v>652</v>
      </c>
      <c r="E606" s="4" t="s">
        <v>16</v>
      </c>
      <c r="F606" s="4">
        <v>37</v>
      </c>
      <c r="G606" s="4" t="str" cm="1">
        <f t="array" ref="G606">_xlfn.IFS(F606&lt;30,"Young Adult",F606&lt;50,"Adult",F606&gt;=50,"Senior")</f>
        <v>Adult</v>
      </c>
      <c r="H606" s="4" t="s">
        <v>24</v>
      </c>
      <c r="I606" s="4">
        <v>2</v>
      </c>
      <c r="J606" s="11">
        <v>500</v>
      </c>
      <c r="K606" s="13">
        <f>I606*J606</f>
        <v>1000</v>
      </c>
      <c r="L606" s="19">
        <f t="shared" si="28"/>
        <v>15</v>
      </c>
      <c r="M606" s="19">
        <f t="shared" si="29"/>
        <v>20</v>
      </c>
      <c r="N606" s="13" cm="1">
        <f t="array" ref="N606">_xlfn.IFS(C606=2023,K606*$P$2,C606=2024,K606*$P$3)</f>
        <v>15</v>
      </c>
    </row>
    <row r="607" spans="1:14">
      <c r="A607" s="2">
        <v>606</v>
      </c>
      <c r="B607" s="3">
        <v>45051</v>
      </c>
      <c r="C607" s="4">
        <f t="shared" si="27"/>
        <v>2023</v>
      </c>
      <c r="D607" s="4" t="s">
        <v>653</v>
      </c>
      <c r="E607" s="4" t="s">
        <v>16</v>
      </c>
      <c r="F607" s="4">
        <v>22</v>
      </c>
      <c r="G607" s="4" t="str" cm="1">
        <f t="array" ref="G607">_xlfn.IFS(F607&lt;30,"Young Adult",F607&lt;50,"Adult",F607&gt;=50,"Senior")</f>
        <v>Young Adult</v>
      </c>
      <c r="H607" s="4" t="s">
        <v>24</v>
      </c>
      <c r="I607" s="4">
        <v>1</v>
      </c>
      <c r="J607" s="11">
        <v>50</v>
      </c>
      <c r="K607" s="13">
        <f>I607*J607</f>
        <v>50</v>
      </c>
      <c r="L607" s="19">
        <f t="shared" si="28"/>
        <v>0.75</v>
      </c>
      <c r="M607" s="19">
        <f t="shared" si="29"/>
        <v>1</v>
      </c>
      <c r="N607" s="13" cm="1">
        <f t="array" ref="N607">_xlfn.IFS(C607=2023,K607*$P$2,C607=2024,K607*$P$3)</f>
        <v>0.75</v>
      </c>
    </row>
    <row r="608" spans="1:14">
      <c r="A608" s="2">
        <v>607</v>
      </c>
      <c r="B608" s="3">
        <v>45002</v>
      </c>
      <c r="C608" s="4">
        <f t="shared" si="27"/>
        <v>2023</v>
      </c>
      <c r="D608" s="4" t="s">
        <v>654</v>
      </c>
      <c r="E608" s="4" t="s">
        <v>16</v>
      </c>
      <c r="F608" s="4">
        <v>54</v>
      </c>
      <c r="G608" s="4" t="str" cm="1">
        <f t="array" ref="G608">_xlfn.IFS(F608&lt;30,"Young Adult",F608&lt;50,"Adult",F608&gt;=50,"Senior")</f>
        <v>Senior</v>
      </c>
      <c r="H608" s="4" t="s">
        <v>21</v>
      </c>
      <c r="I608" s="4">
        <v>3</v>
      </c>
      <c r="J608" s="11">
        <v>25</v>
      </c>
      <c r="K608" s="13">
        <f>I608*J608</f>
        <v>75</v>
      </c>
      <c r="L608" s="19">
        <f t="shared" si="28"/>
        <v>1.125</v>
      </c>
      <c r="M608" s="19">
        <f t="shared" si="29"/>
        <v>1.5</v>
      </c>
      <c r="N608" s="13" cm="1">
        <f t="array" ref="N608">_xlfn.IFS(C608=2023,K608*$P$2,C608=2024,K608*$P$3)</f>
        <v>1.125</v>
      </c>
    </row>
    <row r="609" spans="1:14">
      <c r="A609" s="2">
        <v>608</v>
      </c>
      <c r="B609" s="3">
        <v>45262</v>
      </c>
      <c r="C609" s="4">
        <f t="shared" si="27"/>
        <v>2023</v>
      </c>
      <c r="D609" s="4" t="s">
        <v>655</v>
      </c>
      <c r="E609" s="4" t="s">
        <v>20</v>
      </c>
      <c r="F609" s="4">
        <v>55</v>
      </c>
      <c r="G609" s="4" t="str" cm="1">
        <f t="array" ref="G609">_xlfn.IFS(F609&lt;30,"Young Adult",F609&lt;50,"Adult",F609&gt;=50,"Senior")</f>
        <v>Senior</v>
      </c>
      <c r="H609" s="4" t="s">
        <v>24</v>
      </c>
      <c r="I609" s="4">
        <v>3</v>
      </c>
      <c r="J609" s="11">
        <v>500</v>
      </c>
      <c r="K609" s="13">
        <f>I609*J609</f>
        <v>1500</v>
      </c>
      <c r="L609" s="19">
        <f t="shared" si="28"/>
        <v>22.5</v>
      </c>
      <c r="M609" s="19">
        <f t="shared" si="29"/>
        <v>30</v>
      </c>
      <c r="N609" s="13" cm="1">
        <f t="array" ref="N609">_xlfn.IFS(C609=2023,K609*$P$2,C609=2024,K609*$P$3)</f>
        <v>22.5</v>
      </c>
    </row>
    <row r="610" spans="1:14">
      <c r="A610" s="2">
        <v>609</v>
      </c>
      <c r="B610" s="3">
        <v>45279</v>
      </c>
      <c r="C610" s="4">
        <f t="shared" si="27"/>
        <v>2023</v>
      </c>
      <c r="D610" s="4" t="s">
        <v>656</v>
      </c>
      <c r="E610" s="4" t="s">
        <v>20</v>
      </c>
      <c r="F610" s="4">
        <v>47</v>
      </c>
      <c r="G610" s="4" t="str" cm="1">
        <f t="array" ref="G610">_xlfn.IFS(F610&lt;30,"Young Adult",F610&lt;50,"Adult",F610&gt;=50,"Senior")</f>
        <v>Adult</v>
      </c>
      <c r="H610" s="4" t="s">
        <v>21</v>
      </c>
      <c r="I610" s="4">
        <v>2</v>
      </c>
      <c r="J610" s="11">
        <v>50</v>
      </c>
      <c r="K610" s="13">
        <f>I610*J610</f>
        <v>100</v>
      </c>
      <c r="L610" s="19">
        <f t="shared" si="28"/>
        <v>1.5</v>
      </c>
      <c r="M610" s="19">
        <f t="shared" si="29"/>
        <v>2</v>
      </c>
      <c r="N610" s="13" cm="1">
        <f t="array" ref="N610">_xlfn.IFS(C610=2023,K610*$P$2,C610=2024,K610*$P$3)</f>
        <v>1.5</v>
      </c>
    </row>
    <row r="611" spans="1:14">
      <c r="A611" s="2">
        <v>610</v>
      </c>
      <c r="B611" s="3">
        <v>44929</v>
      </c>
      <c r="C611" s="4">
        <f t="shared" si="27"/>
        <v>2023</v>
      </c>
      <c r="D611" s="4" t="s">
        <v>657</v>
      </c>
      <c r="E611" s="4" t="s">
        <v>20</v>
      </c>
      <c r="F611" s="4">
        <v>26</v>
      </c>
      <c r="G611" s="4" t="str" cm="1">
        <f t="array" ref="G611">_xlfn.IFS(F611&lt;30,"Young Adult",F611&lt;50,"Adult",F611&gt;=50,"Senior")</f>
        <v>Young Adult</v>
      </c>
      <c r="H611" s="4" t="s">
        <v>17</v>
      </c>
      <c r="I611" s="4">
        <v>2</v>
      </c>
      <c r="J611" s="11">
        <v>300</v>
      </c>
      <c r="K611" s="13">
        <f>I611*J611</f>
        <v>600</v>
      </c>
      <c r="L611" s="19">
        <f t="shared" si="28"/>
        <v>9</v>
      </c>
      <c r="M611" s="19">
        <f t="shared" si="29"/>
        <v>12</v>
      </c>
      <c r="N611" s="13" cm="1">
        <f t="array" ref="N611">_xlfn.IFS(C611=2023,K611*$P$2,C611=2024,K611*$P$3)</f>
        <v>9</v>
      </c>
    </row>
    <row r="612" spans="1:14">
      <c r="A612" s="2">
        <v>611</v>
      </c>
      <c r="B612" s="3">
        <v>44981</v>
      </c>
      <c r="C612" s="4">
        <f t="shared" si="27"/>
        <v>2023</v>
      </c>
      <c r="D612" s="4" t="s">
        <v>658</v>
      </c>
      <c r="E612" s="4" t="s">
        <v>16</v>
      </c>
      <c r="F612" s="4">
        <v>51</v>
      </c>
      <c r="G612" s="4" t="str" cm="1">
        <f t="array" ref="G612">_xlfn.IFS(F612&lt;30,"Young Adult",F612&lt;50,"Adult",F612&gt;=50,"Senior")</f>
        <v>Senior</v>
      </c>
      <c r="H612" s="4" t="s">
        <v>17</v>
      </c>
      <c r="I612" s="4">
        <v>3</v>
      </c>
      <c r="J612" s="11">
        <v>500</v>
      </c>
      <c r="K612" s="13">
        <f>I612*J612</f>
        <v>1500</v>
      </c>
      <c r="L612" s="19">
        <f t="shared" si="28"/>
        <v>22.5</v>
      </c>
      <c r="M612" s="19">
        <f t="shared" si="29"/>
        <v>30</v>
      </c>
      <c r="N612" s="13" cm="1">
        <f t="array" ref="N612">_xlfn.IFS(C612=2023,K612*$P$2,C612=2024,K612*$P$3)</f>
        <v>22.5</v>
      </c>
    </row>
    <row r="613" spans="1:14">
      <c r="A613" s="2">
        <v>612</v>
      </c>
      <c r="B613" s="3">
        <v>45144</v>
      </c>
      <c r="C613" s="4">
        <f t="shared" si="27"/>
        <v>2023</v>
      </c>
      <c r="D613" s="4" t="s">
        <v>659</v>
      </c>
      <c r="E613" s="4" t="s">
        <v>20</v>
      </c>
      <c r="F613" s="4">
        <v>61</v>
      </c>
      <c r="G613" s="4" t="str" cm="1">
        <f t="array" ref="G613">_xlfn.IFS(F613&lt;30,"Young Adult",F613&lt;50,"Adult",F613&gt;=50,"Senior")</f>
        <v>Senior</v>
      </c>
      <c r="H613" s="4" t="s">
        <v>24</v>
      </c>
      <c r="I613" s="4">
        <v>1</v>
      </c>
      <c r="J613" s="11">
        <v>500</v>
      </c>
      <c r="K613" s="13">
        <f>I613*J613</f>
        <v>500</v>
      </c>
      <c r="L613" s="19">
        <f t="shared" si="28"/>
        <v>7.5</v>
      </c>
      <c r="M613" s="19">
        <f t="shared" si="29"/>
        <v>10</v>
      </c>
      <c r="N613" s="13" cm="1">
        <f t="array" ref="N613">_xlfn.IFS(C613=2023,K613*$P$2,C613=2024,K613*$P$3)</f>
        <v>7.5</v>
      </c>
    </row>
    <row r="614" spans="1:14">
      <c r="A614" s="2">
        <v>613</v>
      </c>
      <c r="B614" s="3">
        <v>45039</v>
      </c>
      <c r="C614" s="4">
        <f t="shared" si="27"/>
        <v>2023</v>
      </c>
      <c r="D614" s="4" t="s">
        <v>660</v>
      </c>
      <c r="E614" s="4" t="s">
        <v>20</v>
      </c>
      <c r="F614" s="4">
        <v>52</v>
      </c>
      <c r="G614" s="4" t="str" cm="1">
        <f t="array" ref="G614">_xlfn.IFS(F614&lt;30,"Young Adult",F614&lt;50,"Adult",F614&gt;=50,"Senior")</f>
        <v>Senior</v>
      </c>
      <c r="H614" s="4" t="s">
        <v>21</v>
      </c>
      <c r="I614" s="4">
        <v>3</v>
      </c>
      <c r="J614" s="11">
        <v>30</v>
      </c>
      <c r="K614" s="13">
        <f>I614*J614</f>
        <v>90</v>
      </c>
      <c r="L614" s="19">
        <f t="shared" si="28"/>
        <v>1.3499999999999999</v>
      </c>
      <c r="M614" s="19">
        <f t="shared" si="29"/>
        <v>1.8</v>
      </c>
      <c r="N614" s="13" cm="1">
        <f t="array" ref="N614">_xlfn.IFS(C614=2023,K614*$P$2,C614=2024,K614*$P$3)</f>
        <v>1.3499999999999999</v>
      </c>
    </row>
    <row r="615" spans="1:14">
      <c r="A615" s="2">
        <v>614</v>
      </c>
      <c r="B615" s="3">
        <v>45017</v>
      </c>
      <c r="C615" s="4">
        <f t="shared" si="27"/>
        <v>2023</v>
      </c>
      <c r="D615" s="4" t="s">
        <v>661</v>
      </c>
      <c r="E615" s="4" t="s">
        <v>20</v>
      </c>
      <c r="F615" s="4">
        <v>39</v>
      </c>
      <c r="G615" s="4" t="str" cm="1">
        <f t="array" ref="G615">_xlfn.IFS(F615&lt;30,"Young Adult",F615&lt;50,"Adult",F615&gt;=50,"Senior")</f>
        <v>Adult</v>
      </c>
      <c r="H615" s="4" t="s">
        <v>17</v>
      </c>
      <c r="I615" s="4">
        <v>4</v>
      </c>
      <c r="J615" s="11">
        <v>300</v>
      </c>
      <c r="K615" s="13">
        <f>I615*J615</f>
        <v>1200</v>
      </c>
      <c r="L615" s="19">
        <f t="shared" si="28"/>
        <v>18</v>
      </c>
      <c r="M615" s="19">
        <f t="shared" si="29"/>
        <v>24</v>
      </c>
      <c r="N615" s="13" cm="1">
        <f t="array" ref="N615">_xlfn.IFS(C615=2023,K615*$P$2,C615=2024,K615*$P$3)</f>
        <v>18</v>
      </c>
    </row>
    <row r="616" spans="1:14">
      <c r="A616" s="2">
        <v>615</v>
      </c>
      <c r="B616" s="3">
        <v>45283</v>
      </c>
      <c r="C616" s="4">
        <f t="shared" si="27"/>
        <v>2023</v>
      </c>
      <c r="D616" s="4" t="s">
        <v>662</v>
      </c>
      <c r="E616" s="4" t="s">
        <v>20</v>
      </c>
      <c r="F616" s="4">
        <v>61</v>
      </c>
      <c r="G616" s="4" t="str" cm="1">
        <f t="array" ref="G616">_xlfn.IFS(F616&lt;30,"Young Adult",F616&lt;50,"Adult",F616&gt;=50,"Senior")</f>
        <v>Senior</v>
      </c>
      <c r="H616" s="4" t="s">
        <v>21</v>
      </c>
      <c r="I616" s="4">
        <v>4</v>
      </c>
      <c r="J616" s="11">
        <v>25</v>
      </c>
      <c r="K616" s="13">
        <f>I616*J616</f>
        <v>100</v>
      </c>
      <c r="L616" s="19">
        <f t="shared" si="28"/>
        <v>1.5</v>
      </c>
      <c r="M616" s="19">
        <f t="shared" si="29"/>
        <v>2</v>
      </c>
      <c r="N616" s="13" cm="1">
        <f t="array" ref="N616">_xlfn.IFS(C616=2023,K616*$P$2,C616=2024,K616*$P$3)</f>
        <v>1.5</v>
      </c>
    </row>
    <row r="617" spans="1:14">
      <c r="A617" s="2">
        <v>616</v>
      </c>
      <c r="B617" s="3">
        <v>45192</v>
      </c>
      <c r="C617" s="4">
        <f t="shared" si="27"/>
        <v>2023</v>
      </c>
      <c r="D617" s="4" t="s">
        <v>663</v>
      </c>
      <c r="E617" s="4" t="s">
        <v>16</v>
      </c>
      <c r="F617" s="4">
        <v>41</v>
      </c>
      <c r="G617" s="4" t="str" cm="1">
        <f t="array" ref="G617">_xlfn.IFS(F617&lt;30,"Young Adult",F617&lt;50,"Adult",F617&gt;=50,"Senior")</f>
        <v>Adult</v>
      </c>
      <c r="H617" s="4" t="s">
        <v>21</v>
      </c>
      <c r="I617" s="4">
        <v>2</v>
      </c>
      <c r="J617" s="11">
        <v>50</v>
      </c>
      <c r="K617" s="13">
        <f>I617*J617</f>
        <v>100</v>
      </c>
      <c r="L617" s="19">
        <f t="shared" si="28"/>
        <v>1.5</v>
      </c>
      <c r="M617" s="19">
        <f t="shared" si="29"/>
        <v>2</v>
      </c>
      <c r="N617" s="13" cm="1">
        <f t="array" ref="N617">_xlfn.IFS(C617=2023,K617*$P$2,C617=2024,K617*$P$3)</f>
        <v>1.5</v>
      </c>
    </row>
    <row r="618" spans="1:14">
      <c r="A618" s="2">
        <v>617</v>
      </c>
      <c r="B618" s="3">
        <v>45164</v>
      </c>
      <c r="C618" s="4">
        <f t="shared" si="27"/>
        <v>2023</v>
      </c>
      <c r="D618" s="4" t="s">
        <v>664</v>
      </c>
      <c r="E618" s="4" t="s">
        <v>16</v>
      </c>
      <c r="F618" s="4">
        <v>34</v>
      </c>
      <c r="G618" s="4" t="str" cm="1">
        <f t="array" ref="G618">_xlfn.IFS(F618&lt;30,"Young Adult",F618&lt;50,"Adult",F618&gt;=50,"Senior")</f>
        <v>Adult</v>
      </c>
      <c r="H618" s="4" t="s">
        <v>24</v>
      </c>
      <c r="I618" s="4">
        <v>1</v>
      </c>
      <c r="J618" s="11">
        <v>30</v>
      </c>
      <c r="K618" s="13">
        <f>I618*J618</f>
        <v>30</v>
      </c>
      <c r="L618" s="19">
        <f t="shared" si="28"/>
        <v>0.44999999999999996</v>
      </c>
      <c r="M618" s="19">
        <f t="shared" si="29"/>
        <v>0.6</v>
      </c>
      <c r="N618" s="13" cm="1">
        <f t="array" ref="N618">_xlfn.IFS(C618=2023,K618*$P$2,C618=2024,K618*$P$3)</f>
        <v>0.44999999999999996</v>
      </c>
    </row>
    <row r="619" spans="1:14">
      <c r="A619" s="2">
        <v>618</v>
      </c>
      <c r="B619" s="3">
        <v>44952</v>
      </c>
      <c r="C619" s="4">
        <f t="shared" si="27"/>
        <v>2023</v>
      </c>
      <c r="D619" s="4" t="s">
        <v>665</v>
      </c>
      <c r="E619" s="4" t="s">
        <v>20</v>
      </c>
      <c r="F619" s="4">
        <v>27</v>
      </c>
      <c r="G619" s="4" t="str" cm="1">
        <f t="array" ref="G619">_xlfn.IFS(F619&lt;30,"Young Adult",F619&lt;50,"Adult",F619&gt;=50,"Senior")</f>
        <v>Young Adult</v>
      </c>
      <c r="H619" s="4" t="s">
        <v>17</v>
      </c>
      <c r="I619" s="4">
        <v>1</v>
      </c>
      <c r="J619" s="11">
        <v>50</v>
      </c>
      <c r="K619" s="13">
        <f>I619*J619</f>
        <v>50</v>
      </c>
      <c r="L619" s="19">
        <f t="shared" si="28"/>
        <v>0.75</v>
      </c>
      <c r="M619" s="19">
        <f t="shared" si="29"/>
        <v>1</v>
      </c>
      <c r="N619" s="13" cm="1">
        <f t="array" ref="N619">_xlfn.IFS(C619=2023,K619*$P$2,C619=2024,K619*$P$3)</f>
        <v>0.75</v>
      </c>
    </row>
    <row r="620" spans="1:14">
      <c r="A620" s="2">
        <v>619</v>
      </c>
      <c r="B620" s="3">
        <v>45212</v>
      </c>
      <c r="C620" s="4">
        <f t="shared" si="27"/>
        <v>2023</v>
      </c>
      <c r="D620" s="4" t="s">
        <v>666</v>
      </c>
      <c r="E620" s="4" t="s">
        <v>16</v>
      </c>
      <c r="F620" s="4">
        <v>47</v>
      </c>
      <c r="G620" s="4" t="str" cm="1">
        <f t="array" ref="G620">_xlfn.IFS(F620&lt;30,"Young Adult",F620&lt;50,"Adult",F620&gt;=50,"Senior")</f>
        <v>Adult</v>
      </c>
      <c r="H620" s="4" t="s">
        <v>24</v>
      </c>
      <c r="I620" s="4">
        <v>4</v>
      </c>
      <c r="J620" s="11">
        <v>25</v>
      </c>
      <c r="K620" s="13">
        <f>I620*J620</f>
        <v>100</v>
      </c>
      <c r="L620" s="19">
        <f t="shared" si="28"/>
        <v>1.5</v>
      </c>
      <c r="M620" s="19">
        <f t="shared" si="29"/>
        <v>2</v>
      </c>
      <c r="N620" s="13" cm="1">
        <f t="array" ref="N620">_xlfn.IFS(C620=2023,K620*$P$2,C620=2024,K620*$P$3)</f>
        <v>1.5</v>
      </c>
    </row>
    <row r="621" spans="1:14">
      <c r="A621" s="2">
        <v>620</v>
      </c>
      <c r="B621" s="3">
        <v>45054</v>
      </c>
      <c r="C621" s="4">
        <f t="shared" si="27"/>
        <v>2023</v>
      </c>
      <c r="D621" s="4" t="s">
        <v>667</v>
      </c>
      <c r="E621" s="4" t="s">
        <v>16</v>
      </c>
      <c r="F621" s="4">
        <v>63</v>
      </c>
      <c r="G621" s="4" t="str" cm="1">
        <f t="array" ref="G621">_xlfn.IFS(F621&lt;30,"Young Adult",F621&lt;50,"Adult",F621&gt;=50,"Senior")</f>
        <v>Senior</v>
      </c>
      <c r="H621" s="4" t="s">
        <v>24</v>
      </c>
      <c r="I621" s="4">
        <v>3</v>
      </c>
      <c r="J621" s="11">
        <v>25</v>
      </c>
      <c r="K621" s="13">
        <f>I621*J621</f>
        <v>75</v>
      </c>
      <c r="L621" s="19">
        <f t="shared" si="28"/>
        <v>1.125</v>
      </c>
      <c r="M621" s="19">
        <f t="shared" si="29"/>
        <v>1.5</v>
      </c>
      <c r="N621" s="13" cm="1">
        <f t="array" ref="N621">_xlfn.IFS(C621=2023,K621*$P$2,C621=2024,K621*$P$3)</f>
        <v>1.125</v>
      </c>
    </row>
    <row r="622" spans="1:14">
      <c r="A622" s="2">
        <v>621</v>
      </c>
      <c r="B622" s="3">
        <v>44989</v>
      </c>
      <c r="C622" s="4">
        <f t="shared" si="27"/>
        <v>2023</v>
      </c>
      <c r="D622" s="4" t="s">
        <v>668</v>
      </c>
      <c r="E622" s="4" t="s">
        <v>20</v>
      </c>
      <c r="F622" s="4">
        <v>40</v>
      </c>
      <c r="G622" s="4" t="str" cm="1">
        <f t="array" ref="G622">_xlfn.IFS(F622&lt;30,"Young Adult",F622&lt;50,"Adult",F622&gt;=50,"Senior")</f>
        <v>Adult</v>
      </c>
      <c r="H622" s="4" t="s">
        <v>17</v>
      </c>
      <c r="I622" s="4">
        <v>2</v>
      </c>
      <c r="J622" s="11">
        <v>500</v>
      </c>
      <c r="K622" s="13">
        <f>I622*J622</f>
        <v>1000</v>
      </c>
      <c r="L622" s="19">
        <f t="shared" si="28"/>
        <v>15</v>
      </c>
      <c r="M622" s="19">
        <f t="shared" si="29"/>
        <v>20</v>
      </c>
      <c r="N622" s="13" cm="1">
        <f t="array" ref="N622">_xlfn.IFS(C622=2023,K622*$P$2,C622=2024,K622*$P$3)</f>
        <v>15</v>
      </c>
    </row>
    <row r="623" spans="1:14">
      <c r="A623" s="2">
        <v>622</v>
      </c>
      <c r="B623" s="3">
        <v>45160</v>
      </c>
      <c r="C623" s="4">
        <f t="shared" si="27"/>
        <v>2023</v>
      </c>
      <c r="D623" s="4" t="s">
        <v>669</v>
      </c>
      <c r="E623" s="4" t="s">
        <v>20</v>
      </c>
      <c r="F623" s="4">
        <v>49</v>
      </c>
      <c r="G623" s="4" t="str" cm="1">
        <f t="array" ref="G623">_xlfn.IFS(F623&lt;30,"Young Adult",F623&lt;50,"Adult",F623&gt;=50,"Senior")</f>
        <v>Adult</v>
      </c>
      <c r="H623" s="4" t="s">
        <v>17</v>
      </c>
      <c r="I623" s="4">
        <v>3</v>
      </c>
      <c r="J623" s="11">
        <v>25</v>
      </c>
      <c r="K623" s="13">
        <f>I623*J623</f>
        <v>75</v>
      </c>
      <c r="L623" s="19">
        <f t="shared" si="28"/>
        <v>1.125</v>
      </c>
      <c r="M623" s="19">
        <f t="shared" si="29"/>
        <v>1.5</v>
      </c>
      <c r="N623" s="13" cm="1">
        <f t="array" ref="N623">_xlfn.IFS(C623=2023,K623*$P$2,C623=2024,K623*$P$3)</f>
        <v>1.125</v>
      </c>
    </row>
    <row r="624" spans="1:14">
      <c r="A624" s="2">
        <v>623</v>
      </c>
      <c r="B624" s="3">
        <v>44995</v>
      </c>
      <c r="C624" s="4">
        <f t="shared" si="27"/>
        <v>2023</v>
      </c>
      <c r="D624" s="4" t="s">
        <v>670</v>
      </c>
      <c r="E624" s="4" t="s">
        <v>16</v>
      </c>
      <c r="F624" s="4">
        <v>34</v>
      </c>
      <c r="G624" s="4" t="str" cm="1">
        <f t="array" ref="G624">_xlfn.IFS(F624&lt;30,"Young Adult",F624&lt;50,"Adult",F624&gt;=50,"Senior")</f>
        <v>Adult</v>
      </c>
      <c r="H624" s="4" t="s">
        <v>21</v>
      </c>
      <c r="I624" s="4">
        <v>3</v>
      </c>
      <c r="J624" s="11">
        <v>50</v>
      </c>
      <c r="K624" s="13">
        <f>I624*J624</f>
        <v>150</v>
      </c>
      <c r="L624" s="19">
        <f t="shared" si="28"/>
        <v>2.25</v>
      </c>
      <c r="M624" s="19">
        <f t="shared" si="29"/>
        <v>3</v>
      </c>
      <c r="N624" s="13" cm="1">
        <f t="array" ref="N624">_xlfn.IFS(C624=2023,K624*$P$2,C624=2024,K624*$P$3)</f>
        <v>2.25</v>
      </c>
    </row>
    <row r="625" spans="1:14">
      <c r="A625" s="2">
        <v>624</v>
      </c>
      <c r="B625" s="3">
        <v>45164</v>
      </c>
      <c r="C625" s="4">
        <f t="shared" si="27"/>
        <v>2023</v>
      </c>
      <c r="D625" s="4" t="s">
        <v>671</v>
      </c>
      <c r="E625" s="4" t="s">
        <v>20</v>
      </c>
      <c r="F625" s="4">
        <v>34</v>
      </c>
      <c r="G625" s="4" t="str" cm="1">
        <f t="array" ref="G625">_xlfn.IFS(F625&lt;30,"Young Adult",F625&lt;50,"Adult",F625&gt;=50,"Senior")</f>
        <v>Adult</v>
      </c>
      <c r="H625" s="4" t="s">
        <v>17</v>
      </c>
      <c r="I625" s="4">
        <v>3</v>
      </c>
      <c r="J625" s="11">
        <v>300</v>
      </c>
      <c r="K625" s="13">
        <f>I625*J625</f>
        <v>900</v>
      </c>
      <c r="L625" s="19">
        <f t="shared" si="28"/>
        <v>13.5</v>
      </c>
      <c r="M625" s="19">
        <f t="shared" si="29"/>
        <v>18</v>
      </c>
      <c r="N625" s="13" cm="1">
        <f t="array" ref="N625">_xlfn.IFS(C625=2023,K625*$P$2,C625=2024,K625*$P$3)</f>
        <v>13.5</v>
      </c>
    </row>
    <row r="626" spans="1:14">
      <c r="A626" s="2">
        <v>625</v>
      </c>
      <c r="B626" s="3">
        <v>45268</v>
      </c>
      <c r="C626" s="4">
        <f t="shared" si="27"/>
        <v>2023</v>
      </c>
      <c r="D626" s="4" t="s">
        <v>672</v>
      </c>
      <c r="E626" s="4" t="s">
        <v>16</v>
      </c>
      <c r="F626" s="4">
        <v>31</v>
      </c>
      <c r="G626" s="4" t="str" cm="1">
        <f t="array" ref="G626">_xlfn.IFS(F626&lt;30,"Young Adult",F626&lt;50,"Adult",F626&gt;=50,"Senior")</f>
        <v>Adult</v>
      </c>
      <c r="H626" s="4" t="s">
        <v>21</v>
      </c>
      <c r="I626" s="4">
        <v>1</v>
      </c>
      <c r="J626" s="11">
        <v>300</v>
      </c>
      <c r="K626" s="13">
        <f>I626*J626</f>
        <v>300</v>
      </c>
      <c r="L626" s="19">
        <f t="shared" si="28"/>
        <v>4.5</v>
      </c>
      <c r="M626" s="19">
        <f t="shared" si="29"/>
        <v>6</v>
      </c>
      <c r="N626" s="13" cm="1">
        <f t="array" ref="N626">_xlfn.IFS(C626=2023,K626*$P$2,C626=2024,K626*$P$3)</f>
        <v>4.5</v>
      </c>
    </row>
    <row r="627" spans="1:14">
      <c r="A627" s="2">
        <v>626</v>
      </c>
      <c r="B627" s="3">
        <v>45198</v>
      </c>
      <c r="C627" s="4">
        <f t="shared" si="27"/>
        <v>2023</v>
      </c>
      <c r="D627" s="4" t="s">
        <v>673</v>
      </c>
      <c r="E627" s="4" t="s">
        <v>20</v>
      </c>
      <c r="F627" s="4">
        <v>26</v>
      </c>
      <c r="G627" s="4" t="str" cm="1">
        <f t="array" ref="G627">_xlfn.IFS(F627&lt;30,"Young Adult",F627&lt;50,"Adult",F627&gt;=50,"Senior")</f>
        <v>Young Adult</v>
      </c>
      <c r="H627" s="4" t="s">
        <v>21</v>
      </c>
      <c r="I627" s="4">
        <v>4</v>
      </c>
      <c r="J627" s="11">
        <v>500</v>
      </c>
      <c r="K627" s="13">
        <f>I627*J627</f>
        <v>2000</v>
      </c>
      <c r="L627" s="19">
        <f t="shared" si="28"/>
        <v>30</v>
      </c>
      <c r="M627" s="19">
        <f t="shared" si="29"/>
        <v>40</v>
      </c>
      <c r="N627" s="13" cm="1">
        <f t="array" ref="N627">_xlfn.IFS(C627=2023,K627*$P$2,C627=2024,K627*$P$3)</f>
        <v>30</v>
      </c>
    </row>
    <row r="628" spans="1:14">
      <c r="A628" s="2">
        <v>627</v>
      </c>
      <c r="B628" s="3">
        <v>45213</v>
      </c>
      <c r="C628" s="4">
        <f t="shared" si="27"/>
        <v>2023</v>
      </c>
      <c r="D628" s="4" t="s">
        <v>674</v>
      </c>
      <c r="E628" s="4" t="s">
        <v>16</v>
      </c>
      <c r="F628" s="4">
        <v>57</v>
      </c>
      <c r="G628" s="4" t="str" cm="1">
        <f t="array" ref="G628">_xlfn.IFS(F628&lt;30,"Young Adult",F628&lt;50,"Adult",F628&gt;=50,"Senior")</f>
        <v>Senior</v>
      </c>
      <c r="H628" s="4" t="s">
        <v>21</v>
      </c>
      <c r="I628" s="4">
        <v>1</v>
      </c>
      <c r="J628" s="11">
        <v>50</v>
      </c>
      <c r="K628" s="13">
        <f>I628*J628</f>
        <v>50</v>
      </c>
      <c r="L628" s="19">
        <f t="shared" si="28"/>
        <v>0.75</v>
      </c>
      <c r="M628" s="19">
        <f t="shared" si="29"/>
        <v>1</v>
      </c>
      <c r="N628" s="13" cm="1">
        <f t="array" ref="N628">_xlfn.IFS(C628=2023,K628*$P$2,C628=2024,K628*$P$3)</f>
        <v>0.75</v>
      </c>
    </row>
    <row r="629" spans="1:14">
      <c r="A629" s="2">
        <v>628</v>
      </c>
      <c r="B629" s="3">
        <v>45231</v>
      </c>
      <c r="C629" s="4">
        <f t="shared" si="27"/>
        <v>2023</v>
      </c>
      <c r="D629" s="4" t="s">
        <v>675</v>
      </c>
      <c r="E629" s="4" t="s">
        <v>20</v>
      </c>
      <c r="F629" s="4">
        <v>19</v>
      </c>
      <c r="G629" s="4" t="str" cm="1">
        <f t="array" ref="G629">_xlfn.IFS(F629&lt;30,"Young Adult",F629&lt;50,"Adult",F629&gt;=50,"Senior")</f>
        <v>Young Adult</v>
      </c>
      <c r="H629" s="4" t="s">
        <v>17</v>
      </c>
      <c r="I629" s="4">
        <v>4</v>
      </c>
      <c r="J629" s="11">
        <v>50</v>
      </c>
      <c r="K629" s="13">
        <f>I629*J629</f>
        <v>200</v>
      </c>
      <c r="L629" s="19">
        <f t="shared" si="28"/>
        <v>3</v>
      </c>
      <c r="M629" s="19">
        <f t="shared" si="29"/>
        <v>4</v>
      </c>
      <c r="N629" s="13" cm="1">
        <f t="array" ref="N629">_xlfn.IFS(C629=2023,K629*$P$2,C629=2024,K629*$P$3)</f>
        <v>3</v>
      </c>
    </row>
    <row r="630" spans="1:14">
      <c r="A630" s="2">
        <v>629</v>
      </c>
      <c r="B630" s="3">
        <v>45089</v>
      </c>
      <c r="C630" s="4">
        <f t="shared" si="27"/>
        <v>2023</v>
      </c>
      <c r="D630" s="4" t="s">
        <v>676</v>
      </c>
      <c r="E630" s="4" t="s">
        <v>16</v>
      </c>
      <c r="F630" s="4">
        <v>62</v>
      </c>
      <c r="G630" s="4" t="str" cm="1">
        <f t="array" ref="G630">_xlfn.IFS(F630&lt;30,"Young Adult",F630&lt;50,"Adult",F630&gt;=50,"Senior")</f>
        <v>Senior</v>
      </c>
      <c r="H630" s="4" t="s">
        <v>24</v>
      </c>
      <c r="I630" s="4">
        <v>2</v>
      </c>
      <c r="J630" s="11">
        <v>25</v>
      </c>
      <c r="K630" s="13">
        <f>I630*J630</f>
        <v>50</v>
      </c>
      <c r="L630" s="19">
        <f t="shared" si="28"/>
        <v>0.75</v>
      </c>
      <c r="M630" s="19">
        <f t="shared" si="29"/>
        <v>1</v>
      </c>
      <c r="N630" s="13" cm="1">
        <f t="array" ref="N630">_xlfn.IFS(C630=2023,K630*$P$2,C630=2024,K630*$P$3)</f>
        <v>0.75</v>
      </c>
    </row>
    <row r="631" spans="1:14">
      <c r="A631" s="2">
        <v>630</v>
      </c>
      <c r="B631" s="3">
        <v>45153</v>
      </c>
      <c r="C631" s="4">
        <f t="shared" si="27"/>
        <v>2023</v>
      </c>
      <c r="D631" s="4" t="s">
        <v>677</v>
      </c>
      <c r="E631" s="4" t="s">
        <v>16</v>
      </c>
      <c r="F631" s="4">
        <v>42</v>
      </c>
      <c r="G631" s="4" t="str" cm="1">
        <f t="array" ref="G631">_xlfn.IFS(F631&lt;30,"Young Adult",F631&lt;50,"Adult",F631&gt;=50,"Senior")</f>
        <v>Adult</v>
      </c>
      <c r="H631" s="4" t="s">
        <v>21</v>
      </c>
      <c r="I631" s="4">
        <v>2</v>
      </c>
      <c r="J631" s="11">
        <v>50</v>
      </c>
      <c r="K631" s="13">
        <f>I631*J631</f>
        <v>100</v>
      </c>
      <c r="L631" s="19">
        <f t="shared" si="28"/>
        <v>1.5</v>
      </c>
      <c r="M631" s="19">
        <f t="shared" si="29"/>
        <v>2</v>
      </c>
      <c r="N631" s="13" cm="1">
        <f t="array" ref="N631">_xlfn.IFS(C631=2023,K631*$P$2,C631=2024,K631*$P$3)</f>
        <v>1.5</v>
      </c>
    </row>
    <row r="632" spans="1:14">
      <c r="A632" s="2">
        <v>631</v>
      </c>
      <c r="B632" s="3">
        <v>45240</v>
      </c>
      <c r="C632" s="4">
        <f t="shared" si="27"/>
        <v>2023</v>
      </c>
      <c r="D632" s="4" t="s">
        <v>678</v>
      </c>
      <c r="E632" s="4" t="s">
        <v>16</v>
      </c>
      <c r="F632" s="4">
        <v>56</v>
      </c>
      <c r="G632" s="4" t="str" cm="1">
        <f t="array" ref="G632">_xlfn.IFS(F632&lt;30,"Young Adult",F632&lt;50,"Adult",F632&gt;=50,"Senior")</f>
        <v>Senior</v>
      </c>
      <c r="H632" s="4" t="s">
        <v>24</v>
      </c>
      <c r="I632" s="4">
        <v>3</v>
      </c>
      <c r="J632" s="11">
        <v>30</v>
      </c>
      <c r="K632" s="13">
        <f>I632*J632</f>
        <v>90</v>
      </c>
      <c r="L632" s="19">
        <f t="shared" si="28"/>
        <v>1.3499999999999999</v>
      </c>
      <c r="M632" s="19">
        <f t="shared" si="29"/>
        <v>1.8</v>
      </c>
      <c r="N632" s="13" cm="1">
        <f t="array" ref="N632">_xlfn.IFS(C632=2023,K632*$P$2,C632=2024,K632*$P$3)</f>
        <v>1.3499999999999999</v>
      </c>
    </row>
    <row r="633" spans="1:14">
      <c r="A633" s="2">
        <v>632</v>
      </c>
      <c r="B633" s="3">
        <v>45185</v>
      </c>
      <c r="C633" s="4">
        <f t="shared" si="27"/>
        <v>2023</v>
      </c>
      <c r="D633" s="4" t="s">
        <v>679</v>
      </c>
      <c r="E633" s="4" t="s">
        <v>20</v>
      </c>
      <c r="F633" s="4">
        <v>26</v>
      </c>
      <c r="G633" s="4" t="str" cm="1">
        <f t="array" ref="G633">_xlfn.IFS(F633&lt;30,"Young Adult",F633&lt;50,"Adult",F633&gt;=50,"Senior")</f>
        <v>Young Adult</v>
      </c>
      <c r="H633" s="4" t="s">
        <v>24</v>
      </c>
      <c r="I633" s="4">
        <v>4</v>
      </c>
      <c r="J633" s="11">
        <v>25</v>
      </c>
      <c r="K633" s="13">
        <f>I633*J633</f>
        <v>100</v>
      </c>
      <c r="L633" s="19">
        <f t="shared" si="28"/>
        <v>1.5</v>
      </c>
      <c r="M633" s="19">
        <f t="shared" si="29"/>
        <v>2</v>
      </c>
      <c r="N633" s="13" cm="1">
        <f t="array" ref="N633">_xlfn.IFS(C633=2023,K633*$P$2,C633=2024,K633*$P$3)</f>
        <v>1.5</v>
      </c>
    </row>
    <row r="634" spans="1:14">
      <c r="A634" s="2">
        <v>633</v>
      </c>
      <c r="B634" s="3">
        <v>45145</v>
      </c>
      <c r="C634" s="4">
        <f t="shared" si="27"/>
        <v>2023</v>
      </c>
      <c r="D634" s="4" t="s">
        <v>680</v>
      </c>
      <c r="E634" s="4" t="s">
        <v>16</v>
      </c>
      <c r="F634" s="4">
        <v>39</v>
      </c>
      <c r="G634" s="4" t="str" cm="1">
        <f t="array" ref="G634">_xlfn.IFS(F634&lt;30,"Young Adult",F634&lt;50,"Adult",F634&gt;=50,"Senior")</f>
        <v>Adult</v>
      </c>
      <c r="H634" s="4" t="s">
        <v>17</v>
      </c>
      <c r="I634" s="4">
        <v>4</v>
      </c>
      <c r="J634" s="11">
        <v>30</v>
      </c>
      <c r="K634" s="13">
        <f>I634*J634</f>
        <v>120</v>
      </c>
      <c r="L634" s="19">
        <f t="shared" si="28"/>
        <v>1.7999999999999998</v>
      </c>
      <c r="M634" s="19">
        <f t="shared" si="29"/>
        <v>2.4</v>
      </c>
      <c r="N634" s="13" cm="1">
        <f t="array" ref="N634">_xlfn.IFS(C634=2023,K634*$P$2,C634=2024,K634*$P$3)</f>
        <v>1.7999999999999998</v>
      </c>
    </row>
    <row r="635" spans="1:14">
      <c r="A635" s="2">
        <v>634</v>
      </c>
      <c r="B635" s="3">
        <v>45207</v>
      </c>
      <c r="C635" s="4">
        <f t="shared" si="27"/>
        <v>2023</v>
      </c>
      <c r="D635" s="4" t="s">
        <v>681</v>
      </c>
      <c r="E635" s="4" t="s">
        <v>16</v>
      </c>
      <c r="F635" s="4">
        <v>60</v>
      </c>
      <c r="G635" s="4" t="str" cm="1">
        <f t="array" ref="G635">_xlfn.IFS(F635&lt;30,"Young Adult",F635&lt;50,"Adult",F635&gt;=50,"Senior")</f>
        <v>Senior</v>
      </c>
      <c r="H635" s="4" t="s">
        <v>24</v>
      </c>
      <c r="I635" s="4">
        <v>4</v>
      </c>
      <c r="J635" s="11">
        <v>500</v>
      </c>
      <c r="K635" s="13">
        <f>I635*J635</f>
        <v>2000</v>
      </c>
      <c r="L635" s="19">
        <f t="shared" si="28"/>
        <v>30</v>
      </c>
      <c r="M635" s="19">
        <f t="shared" si="29"/>
        <v>40</v>
      </c>
      <c r="N635" s="13" cm="1">
        <f t="array" ref="N635">_xlfn.IFS(C635=2023,K635*$P$2,C635=2024,K635*$P$3)</f>
        <v>30</v>
      </c>
    </row>
    <row r="636" spans="1:14">
      <c r="A636" s="2">
        <v>635</v>
      </c>
      <c r="B636" s="3">
        <v>45155</v>
      </c>
      <c r="C636" s="4">
        <f t="shared" si="27"/>
        <v>2023</v>
      </c>
      <c r="D636" s="4" t="s">
        <v>682</v>
      </c>
      <c r="E636" s="4" t="s">
        <v>20</v>
      </c>
      <c r="F636" s="4">
        <v>63</v>
      </c>
      <c r="G636" s="4" t="str" cm="1">
        <f t="array" ref="G636">_xlfn.IFS(F636&lt;30,"Young Adult",F636&lt;50,"Adult",F636&gt;=50,"Senior")</f>
        <v>Senior</v>
      </c>
      <c r="H636" s="4" t="s">
        <v>24</v>
      </c>
      <c r="I636" s="4">
        <v>3</v>
      </c>
      <c r="J636" s="11">
        <v>300</v>
      </c>
      <c r="K636" s="13">
        <f>I636*J636</f>
        <v>900</v>
      </c>
      <c r="L636" s="19">
        <f t="shared" si="28"/>
        <v>13.5</v>
      </c>
      <c r="M636" s="19">
        <f t="shared" si="29"/>
        <v>18</v>
      </c>
      <c r="N636" s="13" cm="1">
        <f t="array" ref="N636">_xlfn.IFS(C636=2023,K636*$P$2,C636=2024,K636*$P$3)</f>
        <v>13.5</v>
      </c>
    </row>
    <row r="637" spans="1:14">
      <c r="A637" s="2">
        <v>636</v>
      </c>
      <c r="B637" s="3">
        <v>45008</v>
      </c>
      <c r="C637" s="4">
        <f t="shared" si="27"/>
        <v>2023</v>
      </c>
      <c r="D637" s="4" t="s">
        <v>683</v>
      </c>
      <c r="E637" s="4" t="s">
        <v>20</v>
      </c>
      <c r="F637" s="4">
        <v>21</v>
      </c>
      <c r="G637" s="4" t="str" cm="1">
        <f t="array" ref="G637">_xlfn.IFS(F637&lt;30,"Young Adult",F637&lt;50,"Adult",F637&gt;=50,"Senior")</f>
        <v>Young Adult</v>
      </c>
      <c r="H637" s="4" t="s">
        <v>17</v>
      </c>
      <c r="I637" s="4">
        <v>3</v>
      </c>
      <c r="J637" s="11">
        <v>500</v>
      </c>
      <c r="K637" s="13">
        <f>I637*J637</f>
        <v>1500</v>
      </c>
      <c r="L637" s="19">
        <f t="shared" si="28"/>
        <v>22.5</v>
      </c>
      <c r="M637" s="19">
        <f t="shared" si="29"/>
        <v>30</v>
      </c>
      <c r="N637" s="13" cm="1">
        <f t="array" ref="N637">_xlfn.IFS(C637=2023,K637*$P$2,C637=2024,K637*$P$3)</f>
        <v>22.5</v>
      </c>
    </row>
    <row r="638" spans="1:14">
      <c r="A638" s="2">
        <v>637</v>
      </c>
      <c r="B638" s="3">
        <v>45170</v>
      </c>
      <c r="C638" s="4">
        <f t="shared" si="27"/>
        <v>2023</v>
      </c>
      <c r="D638" s="4" t="s">
        <v>684</v>
      </c>
      <c r="E638" s="4" t="s">
        <v>16</v>
      </c>
      <c r="F638" s="4">
        <v>43</v>
      </c>
      <c r="G638" s="4" t="str" cm="1">
        <f t="array" ref="G638">_xlfn.IFS(F638&lt;30,"Young Adult",F638&lt;50,"Adult",F638&gt;=50,"Senior")</f>
        <v>Adult</v>
      </c>
      <c r="H638" s="4" t="s">
        <v>21</v>
      </c>
      <c r="I638" s="4">
        <v>2</v>
      </c>
      <c r="J638" s="11">
        <v>300</v>
      </c>
      <c r="K638" s="13">
        <f>I638*J638</f>
        <v>600</v>
      </c>
      <c r="L638" s="19">
        <f t="shared" si="28"/>
        <v>9</v>
      </c>
      <c r="M638" s="19">
        <f t="shared" si="29"/>
        <v>12</v>
      </c>
      <c r="N638" s="13" cm="1">
        <f t="array" ref="N638">_xlfn.IFS(C638=2023,K638*$P$2,C638=2024,K638*$P$3)</f>
        <v>9</v>
      </c>
    </row>
    <row r="639" spans="1:14">
      <c r="A639" s="2">
        <v>638</v>
      </c>
      <c r="B639" s="3">
        <v>45157</v>
      </c>
      <c r="C639" s="4">
        <f t="shared" si="27"/>
        <v>2023</v>
      </c>
      <c r="D639" s="4" t="s">
        <v>685</v>
      </c>
      <c r="E639" s="4" t="s">
        <v>16</v>
      </c>
      <c r="F639" s="4">
        <v>46</v>
      </c>
      <c r="G639" s="4" t="str" cm="1">
        <f t="array" ref="G639">_xlfn.IFS(F639&lt;30,"Young Adult",F639&lt;50,"Adult",F639&gt;=50,"Senior")</f>
        <v>Adult</v>
      </c>
      <c r="H639" s="4" t="s">
        <v>24</v>
      </c>
      <c r="I639" s="4">
        <v>1</v>
      </c>
      <c r="J639" s="11">
        <v>500</v>
      </c>
      <c r="K639" s="13">
        <f>I639*J639</f>
        <v>500</v>
      </c>
      <c r="L639" s="19">
        <f t="shared" si="28"/>
        <v>7.5</v>
      </c>
      <c r="M639" s="19">
        <f t="shared" si="29"/>
        <v>10</v>
      </c>
      <c r="N639" s="13" cm="1">
        <f t="array" ref="N639">_xlfn.IFS(C639=2023,K639*$P$2,C639=2024,K639*$P$3)</f>
        <v>7.5</v>
      </c>
    </row>
    <row r="640" spans="1:14">
      <c r="A640" s="2">
        <v>639</v>
      </c>
      <c r="B640" s="3">
        <v>45059</v>
      </c>
      <c r="C640" s="4">
        <f t="shared" si="27"/>
        <v>2023</v>
      </c>
      <c r="D640" s="4" t="s">
        <v>686</v>
      </c>
      <c r="E640" s="4" t="s">
        <v>20</v>
      </c>
      <c r="F640" s="4">
        <v>62</v>
      </c>
      <c r="G640" s="4" t="str" cm="1">
        <f t="array" ref="G640">_xlfn.IFS(F640&lt;30,"Young Adult",F640&lt;50,"Adult",F640&gt;=50,"Senior")</f>
        <v>Senior</v>
      </c>
      <c r="H640" s="4" t="s">
        <v>17</v>
      </c>
      <c r="I640" s="4">
        <v>4</v>
      </c>
      <c r="J640" s="11">
        <v>50</v>
      </c>
      <c r="K640" s="13">
        <f>I640*J640</f>
        <v>200</v>
      </c>
      <c r="L640" s="19">
        <f t="shared" si="28"/>
        <v>3</v>
      </c>
      <c r="M640" s="19">
        <f t="shared" si="29"/>
        <v>4</v>
      </c>
      <c r="N640" s="13" cm="1">
        <f t="array" ref="N640">_xlfn.IFS(C640=2023,K640*$P$2,C640=2024,K640*$P$3)</f>
        <v>3</v>
      </c>
    </row>
    <row r="641" spans="1:14">
      <c r="A641" s="2">
        <v>640</v>
      </c>
      <c r="B641" s="3">
        <v>45053</v>
      </c>
      <c r="C641" s="4">
        <f t="shared" si="27"/>
        <v>2023</v>
      </c>
      <c r="D641" s="4" t="s">
        <v>687</v>
      </c>
      <c r="E641" s="4" t="s">
        <v>20</v>
      </c>
      <c r="F641" s="4">
        <v>51</v>
      </c>
      <c r="G641" s="4" t="str" cm="1">
        <f t="array" ref="G641">_xlfn.IFS(F641&lt;30,"Young Adult",F641&lt;50,"Adult",F641&gt;=50,"Senior")</f>
        <v>Senior</v>
      </c>
      <c r="H641" s="4" t="s">
        <v>24</v>
      </c>
      <c r="I641" s="4">
        <v>4</v>
      </c>
      <c r="J641" s="11">
        <v>30</v>
      </c>
      <c r="K641" s="13">
        <f>I641*J641</f>
        <v>120</v>
      </c>
      <c r="L641" s="19">
        <f t="shared" si="28"/>
        <v>1.7999999999999998</v>
      </c>
      <c r="M641" s="19">
        <f t="shared" si="29"/>
        <v>2.4</v>
      </c>
      <c r="N641" s="13" cm="1">
        <f t="array" ref="N641">_xlfn.IFS(C641=2023,K641*$P$2,C641=2024,K641*$P$3)</f>
        <v>1.7999999999999998</v>
      </c>
    </row>
    <row r="642" spans="1:14">
      <c r="A642" s="2">
        <v>641</v>
      </c>
      <c r="B642" s="3">
        <v>45253</v>
      </c>
      <c r="C642" s="4">
        <f t="shared" si="27"/>
        <v>2023</v>
      </c>
      <c r="D642" s="4" t="s">
        <v>688</v>
      </c>
      <c r="E642" s="4" t="s">
        <v>20</v>
      </c>
      <c r="F642" s="4">
        <v>40</v>
      </c>
      <c r="G642" s="4" t="str" cm="1">
        <f t="array" ref="G642">_xlfn.IFS(F642&lt;30,"Young Adult",F642&lt;50,"Adult",F642&gt;=50,"Senior")</f>
        <v>Adult</v>
      </c>
      <c r="H642" s="4" t="s">
        <v>24</v>
      </c>
      <c r="I642" s="4">
        <v>1</v>
      </c>
      <c r="J642" s="11">
        <v>300</v>
      </c>
      <c r="K642" s="13">
        <f>I642*J642</f>
        <v>300</v>
      </c>
      <c r="L642" s="19">
        <f t="shared" si="28"/>
        <v>4.5</v>
      </c>
      <c r="M642" s="19">
        <f t="shared" si="29"/>
        <v>6</v>
      </c>
      <c r="N642" s="13" cm="1">
        <f t="array" ref="N642">_xlfn.IFS(C642=2023,K642*$P$2,C642=2024,K642*$P$3)</f>
        <v>4.5</v>
      </c>
    </row>
    <row r="643" spans="1:14">
      <c r="A643" s="2">
        <v>642</v>
      </c>
      <c r="B643" s="3">
        <v>45068</v>
      </c>
      <c r="C643" s="4">
        <f t="shared" ref="C643:C706" si="30">YEAR(B643)</f>
        <v>2023</v>
      </c>
      <c r="D643" s="4" t="s">
        <v>689</v>
      </c>
      <c r="E643" s="4" t="s">
        <v>20</v>
      </c>
      <c r="F643" s="4">
        <v>54</v>
      </c>
      <c r="G643" s="4" t="str" cm="1">
        <f t="array" ref="G643">_xlfn.IFS(F643&lt;30,"Young Adult",F643&lt;50,"Adult",F643&gt;=50,"Senior")</f>
        <v>Senior</v>
      </c>
      <c r="H643" s="4" t="s">
        <v>21</v>
      </c>
      <c r="I643" s="4">
        <v>4</v>
      </c>
      <c r="J643" s="11">
        <v>25</v>
      </c>
      <c r="K643" s="13">
        <f>I643*J643</f>
        <v>100</v>
      </c>
      <c r="L643" s="19">
        <f t="shared" ref="L643:L706" si="31">K643*$P$2</f>
        <v>1.5</v>
      </c>
      <c r="M643" s="19">
        <f t="shared" ref="M643:M706" si="32">K643*$P$3</f>
        <v>2</v>
      </c>
      <c r="N643" s="13" cm="1">
        <f t="array" ref="N643">_xlfn.IFS(C643=2023,K643*$P$2,C643=2024,K643*$P$3)</f>
        <v>1.5</v>
      </c>
    </row>
    <row r="644" spans="1:14">
      <c r="A644" s="2">
        <v>643</v>
      </c>
      <c r="B644" s="3">
        <v>45193</v>
      </c>
      <c r="C644" s="4">
        <f t="shared" si="30"/>
        <v>2023</v>
      </c>
      <c r="D644" s="4" t="s">
        <v>690</v>
      </c>
      <c r="E644" s="4" t="s">
        <v>20</v>
      </c>
      <c r="F644" s="4">
        <v>28</v>
      </c>
      <c r="G644" s="4" t="str" cm="1">
        <f t="array" ref="G644">_xlfn.IFS(F644&lt;30,"Young Adult",F644&lt;50,"Adult",F644&gt;=50,"Senior")</f>
        <v>Young Adult</v>
      </c>
      <c r="H644" s="4" t="s">
        <v>24</v>
      </c>
      <c r="I644" s="4">
        <v>3</v>
      </c>
      <c r="J644" s="11">
        <v>30</v>
      </c>
      <c r="K644" s="13">
        <f>I644*J644</f>
        <v>90</v>
      </c>
      <c r="L644" s="19">
        <f t="shared" si="31"/>
        <v>1.3499999999999999</v>
      </c>
      <c r="M644" s="19">
        <f t="shared" si="32"/>
        <v>1.8</v>
      </c>
      <c r="N644" s="13" cm="1">
        <f t="array" ref="N644">_xlfn.IFS(C644=2023,K644*$P$2,C644=2024,K644*$P$3)</f>
        <v>1.3499999999999999</v>
      </c>
    </row>
    <row r="645" spans="1:14">
      <c r="A645" s="2">
        <v>644</v>
      </c>
      <c r="B645" s="3">
        <v>45175</v>
      </c>
      <c r="C645" s="4">
        <f t="shared" si="30"/>
        <v>2023</v>
      </c>
      <c r="D645" s="4" t="s">
        <v>691</v>
      </c>
      <c r="E645" s="4" t="s">
        <v>16</v>
      </c>
      <c r="F645" s="4">
        <v>23</v>
      </c>
      <c r="G645" s="4" t="str" cm="1">
        <f t="array" ref="G645">_xlfn.IFS(F645&lt;30,"Young Adult",F645&lt;50,"Adult",F645&gt;=50,"Senior")</f>
        <v>Young Adult</v>
      </c>
      <c r="H645" s="4" t="s">
        <v>17</v>
      </c>
      <c r="I645" s="4">
        <v>3</v>
      </c>
      <c r="J645" s="11">
        <v>25</v>
      </c>
      <c r="K645" s="13">
        <f>I645*J645</f>
        <v>75</v>
      </c>
      <c r="L645" s="19">
        <f t="shared" si="31"/>
        <v>1.125</v>
      </c>
      <c r="M645" s="19">
        <f t="shared" si="32"/>
        <v>1.5</v>
      </c>
      <c r="N645" s="13" cm="1">
        <f t="array" ref="N645">_xlfn.IFS(C645=2023,K645*$P$2,C645=2024,K645*$P$3)</f>
        <v>1.125</v>
      </c>
    </row>
    <row r="646" spans="1:14">
      <c r="A646" s="2">
        <v>645</v>
      </c>
      <c r="B646" s="3">
        <v>45247</v>
      </c>
      <c r="C646" s="4">
        <f t="shared" si="30"/>
        <v>2023</v>
      </c>
      <c r="D646" s="4" t="s">
        <v>692</v>
      </c>
      <c r="E646" s="4" t="s">
        <v>20</v>
      </c>
      <c r="F646" s="4">
        <v>35</v>
      </c>
      <c r="G646" s="4" t="str" cm="1">
        <f t="array" ref="G646">_xlfn.IFS(F646&lt;30,"Young Adult",F646&lt;50,"Adult",F646&gt;=50,"Senior")</f>
        <v>Adult</v>
      </c>
      <c r="H646" s="4" t="s">
        <v>24</v>
      </c>
      <c r="I646" s="4">
        <v>4</v>
      </c>
      <c r="J646" s="11">
        <v>30</v>
      </c>
      <c r="K646" s="13">
        <f>I646*J646</f>
        <v>120</v>
      </c>
      <c r="L646" s="19">
        <f t="shared" si="31"/>
        <v>1.7999999999999998</v>
      </c>
      <c r="M646" s="19">
        <f t="shared" si="32"/>
        <v>2.4</v>
      </c>
      <c r="N646" s="13" cm="1">
        <f t="array" ref="N646">_xlfn.IFS(C646=2023,K646*$P$2,C646=2024,K646*$P$3)</f>
        <v>1.7999999999999998</v>
      </c>
    </row>
    <row r="647" spans="1:14">
      <c r="A647" s="2">
        <v>646</v>
      </c>
      <c r="B647" s="3">
        <v>45049</v>
      </c>
      <c r="C647" s="4">
        <f t="shared" si="30"/>
        <v>2023</v>
      </c>
      <c r="D647" s="4" t="s">
        <v>693</v>
      </c>
      <c r="E647" s="4" t="s">
        <v>16</v>
      </c>
      <c r="F647" s="4">
        <v>38</v>
      </c>
      <c r="G647" s="4" t="str" cm="1">
        <f t="array" ref="G647">_xlfn.IFS(F647&lt;30,"Young Adult",F647&lt;50,"Adult",F647&gt;=50,"Senior")</f>
        <v>Adult</v>
      </c>
      <c r="H647" s="4" t="s">
        <v>21</v>
      </c>
      <c r="I647" s="4">
        <v>3</v>
      </c>
      <c r="J647" s="11">
        <v>30</v>
      </c>
      <c r="K647" s="13">
        <f>I647*J647</f>
        <v>90</v>
      </c>
      <c r="L647" s="19">
        <f t="shared" si="31"/>
        <v>1.3499999999999999</v>
      </c>
      <c r="M647" s="19">
        <f t="shared" si="32"/>
        <v>1.8</v>
      </c>
      <c r="N647" s="13" cm="1">
        <f t="array" ref="N647">_xlfn.IFS(C647=2023,K647*$P$2,C647=2024,K647*$P$3)</f>
        <v>1.3499999999999999</v>
      </c>
    </row>
    <row r="648" spans="1:14">
      <c r="A648" s="2">
        <v>647</v>
      </c>
      <c r="B648" s="3">
        <v>45067</v>
      </c>
      <c r="C648" s="4">
        <f t="shared" si="30"/>
        <v>2023</v>
      </c>
      <c r="D648" s="4" t="s">
        <v>694</v>
      </c>
      <c r="E648" s="4" t="s">
        <v>16</v>
      </c>
      <c r="F648" s="4">
        <v>59</v>
      </c>
      <c r="G648" s="4" t="str" cm="1">
        <f t="array" ref="G648">_xlfn.IFS(F648&lt;30,"Young Adult",F648&lt;50,"Adult",F648&gt;=50,"Senior")</f>
        <v>Senior</v>
      </c>
      <c r="H648" s="4" t="s">
        <v>21</v>
      </c>
      <c r="I648" s="4">
        <v>3</v>
      </c>
      <c r="J648" s="11">
        <v>500</v>
      </c>
      <c r="K648" s="13">
        <f>I648*J648</f>
        <v>1500</v>
      </c>
      <c r="L648" s="19">
        <f t="shared" si="31"/>
        <v>22.5</v>
      </c>
      <c r="M648" s="19">
        <f t="shared" si="32"/>
        <v>30</v>
      </c>
      <c r="N648" s="13" cm="1">
        <f t="array" ref="N648">_xlfn.IFS(C648=2023,K648*$P$2,C648=2024,K648*$P$3)</f>
        <v>22.5</v>
      </c>
    </row>
    <row r="649" spans="1:14">
      <c r="A649" s="2">
        <v>648</v>
      </c>
      <c r="B649" s="3">
        <v>45152</v>
      </c>
      <c r="C649" s="4">
        <f t="shared" si="30"/>
        <v>2023</v>
      </c>
      <c r="D649" s="4" t="s">
        <v>695</v>
      </c>
      <c r="E649" s="4" t="s">
        <v>16</v>
      </c>
      <c r="F649" s="4">
        <v>53</v>
      </c>
      <c r="G649" s="4" t="str" cm="1">
        <f t="array" ref="G649">_xlfn.IFS(F649&lt;30,"Young Adult",F649&lt;50,"Adult",F649&gt;=50,"Senior")</f>
        <v>Senior</v>
      </c>
      <c r="H649" s="4" t="s">
        <v>17</v>
      </c>
      <c r="I649" s="4">
        <v>4</v>
      </c>
      <c r="J649" s="11">
        <v>300</v>
      </c>
      <c r="K649" s="13">
        <f>I649*J649</f>
        <v>1200</v>
      </c>
      <c r="L649" s="19">
        <f t="shared" si="31"/>
        <v>18</v>
      </c>
      <c r="M649" s="19">
        <f t="shared" si="32"/>
        <v>24</v>
      </c>
      <c r="N649" s="13" cm="1">
        <f t="array" ref="N649">_xlfn.IFS(C649=2023,K649*$P$2,C649=2024,K649*$P$3)</f>
        <v>18</v>
      </c>
    </row>
    <row r="650" spans="1:14">
      <c r="A650" s="2">
        <v>649</v>
      </c>
      <c r="B650" s="3">
        <v>44966</v>
      </c>
      <c r="C650" s="4">
        <f t="shared" si="30"/>
        <v>2023</v>
      </c>
      <c r="D650" s="4" t="s">
        <v>696</v>
      </c>
      <c r="E650" s="4" t="s">
        <v>20</v>
      </c>
      <c r="F650" s="4">
        <v>58</v>
      </c>
      <c r="G650" s="4" t="str" cm="1">
        <f t="array" ref="G650">_xlfn.IFS(F650&lt;30,"Young Adult",F650&lt;50,"Adult",F650&gt;=50,"Senior")</f>
        <v>Senior</v>
      </c>
      <c r="H650" s="4" t="s">
        <v>21</v>
      </c>
      <c r="I650" s="4">
        <v>2</v>
      </c>
      <c r="J650" s="11">
        <v>300</v>
      </c>
      <c r="K650" s="13">
        <f>I650*J650</f>
        <v>600</v>
      </c>
      <c r="L650" s="19">
        <f t="shared" si="31"/>
        <v>9</v>
      </c>
      <c r="M650" s="19">
        <f t="shared" si="32"/>
        <v>12</v>
      </c>
      <c r="N650" s="13" cm="1">
        <f t="array" ref="N650">_xlfn.IFS(C650=2023,K650*$P$2,C650=2024,K650*$P$3)</f>
        <v>9</v>
      </c>
    </row>
    <row r="651" spans="1:14">
      <c r="A651" s="2">
        <v>650</v>
      </c>
      <c r="B651" s="3">
        <v>45292</v>
      </c>
      <c r="C651" s="4">
        <f t="shared" si="30"/>
        <v>2024</v>
      </c>
      <c r="D651" s="4" t="s">
        <v>697</v>
      </c>
      <c r="E651" s="4" t="s">
        <v>16</v>
      </c>
      <c r="F651" s="4">
        <v>55</v>
      </c>
      <c r="G651" s="4" t="str" cm="1">
        <f t="array" ref="G651">_xlfn.IFS(F651&lt;30,"Young Adult",F651&lt;50,"Adult",F651&gt;=50,"Senior")</f>
        <v>Senior</v>
      </c>
      <c r="H651" s="4" t="s">
        <v>24</v>
      </c>
      <c r="I651" s="4">
        <v>1</v>
      </c>
      <c r="J651" s="11">
        <v>30</v>
      </c>
      <c r="K651" s="13">
        <f>I651*J651</f>
        <v>30</v>
      </c>
      <c r="L651" s="19">
        <f t="shared" si="31"/>
        <v>0.44999999999999996</v>
      </c>
      <c r="M651" s="19">
        <f t="shared" si="32"/>
        <v>0.6</v>
      </c>
      <c r="N651" s="13" cm="1">
        <f t="array" ref="N651">_xlfn.IFS(C651=2023,K651*$P$2,C651=2024,K651*$P$3)</f>
        <v>0.6</v>
      </c>
    </row>
    <row r="652" spans="1:14">
      <c r="A652" s="2">
        <v>651</v>
      </c>
      <c r="B652" s="3">
        <v>45073</v>
      </c>
      <c r="C652" s="4">
        <f t="shared" si="30"/>
        <v>2023</v>
      </c>
      <c r="D652" s="4" t="s">
        <v>698</v>
      </c>
      <c r="E652" s="4" t="s">
        <v>16</v>
      </c>
      <c r="F652" s="4">
        <v>51</v>
      </c>
      <c r="G652" s="4" t="str" cm="1">
        <f t="array" ref="G652">_xlfn.IFS(F652&lt;30,"Young Adult",F652&lt;50,"Adult",F652&gt;=50,"Senior")</f>
        <v>Senior</v>
      </c>
      <c r="H652" s="4" t="s">
        <v>21</v>
      </c>
      <c r="I652" s="4">
        <v>3</v>
      </c>
      <c r="J652" s="11">
        <v>50</v>
      </c>
      <c r="K652" s="13">
        <f>I652*J652</f>
        <v>150</v>
      </c>
      <c r="L652" s="19">
        <f t="shared" si="31"/>
        <v>2.25</v>
      </c>
      <c r="M652" s="19">
        <f t="shared" si="32"/>
        <v>3</v>
      </c>
      <c r="N652" s="13" cm="1">
        <f t="array" ref="N652">_xlfn.IFS(C652=2023,K652*$P$2,C652=2024,K652*$P$3)</f>
        <v>2.25</v>
      </c>
    </row>
    <row r="653" spans="1:14">
      <c r="A653" s="2">
        <v>652</v>
      </c>
      <c r="B653" s="3">
        <v>45047</v>
      </c>
      <c r="C653" s="4">
        <f t="shared" si="30"/>
        <v>2023</v>
      </c>
      <c r="D653" s="4" t="s">
        <v>699</v>
      </c>
      <c r="E653" s="4" t="s">
        <v>20</v>
      </c>
      <c r="F653" s="4">
        <v>34</v>
      </c>
      <c r="G653" s="4" t="str" cm="1">
        <f t="array" ref="G653">_xlfn.IFS(F653&lt;30,"Young Adult",F653&lt;50,"Adult",F653&gt;=50,"Senior")</f>
        <v>Adult</v>
      </c>
      <c r="H653" s="4" t="s">
        <v>17</v>
      </c>
      <c r="I653" s="4">
        <v>2</v>
      </c>
      <c r="J653" s="11">
        <v>50</v>
      </c>
      <c r="K653" s="13">
        <f>I653*J653</f>
        <v>100</v>
      </c>
      <c r="L653" s="19">
        <f t="shared" si="31"/>
        <v>1.5</v>
      </c>
      <c r="M653" s="19">
        <f t="shared" si="32"/>
        <v>2</v>
      </c>
      <c r="N653" s="13" cm="1">
        <f t="array" ref="N653">_xlfn.IFS(C653=2023,K653*$P$2,C653=2024,K653*$P$3)</f>
        <v>1.5</v>
      </c>
    </row>
    <row r="654" spans="1:14">
      <c r="A654" s="2">
        <v>653</v>
      </c>
      <c r="B654" s="3">
        <v>45066</v>
      </c>
      <c r="C654" s="4">
        <f t="shared" si="30"/>
        <v>2023</v>
      </c>
      <c r="D654" s="4" t="s">
        <v>700</v>
      </c>
      <c r="E654" s="4" t="s">
        <v>16</v>
      </c>
      <c r="F654" s="4">
        <v>54</v>
      </c>
      <c r="G654" s="4" t="str" cm="1">
        <f t="array" ref="G654">_xlfn.IFS(F654&lt;30,"Young Adult",F654&lt;50,"Adult",F654&gt;=50,"Senior")</f>
        <v>Senior</v>
      </c>
      <c r="H654" s="4" t="s">
        <v>21</v>
      </c>
      <c r="I654" s="4">
        <v>3</v>
      </c>
      <c r="J654" s="11">
        <v>25</v>
      </c>
      <c r="K654" s="13">
        <f>I654*J654</f>
        <v>75</v>
      </c>
      <c r="L654" s="19">
        <f t="shared" si="31"/>
        <v>1.125</v>
      </c>
      <c r="M654" s="19">
        <f t="shared" si="32"/>
        <v>1.5</v>
      </c>
      <c r="N654" s="13" cm="1">
        <f t="array" ref="N654">_xlfn.IFS(C654=2023,K654*$P$2,C654=2024,K654*$P$3)</f>
        <v>1.125</v>
      </c>
    </row>
    <row r="655" spans="1:14">
      <c r="A655" s="2">
        <v>654</v>
      </c>
      <c r="B655" s="3">
        <v>45098</v>
      </c>
      <c r="C655" s="4">
        <f t="shared" si="30"/>
        <v>2023</v>
      </c>
      <c r="D655" s="4" t="s">
        <v>701</v>
      </c>
      <c r="E655" s="4" t="s">
        <v>16</v>
      </c>
      <c r="F655" s="4">
        <v>42</v>
      </c>
      <c r="G655" s="4" t="str" cm="1">
        <f t="array" ref="G655">_xlfn.IFS(F655&lt;30,"Young Adult",F655&lt;50,"Adult",F655&gt;=50,"Senior")</f>
        <v>Adult</v>
      </c>
      <c r="H655" s="4" t="s">
        <v>21</v>
      </c>
      <c r="I655" s="4">
        <v>3</v>
      </c>
      <c r="J655" s="11">
        <v>25</v>
      </c>
      <c r="K655" s="13">
        <f>I655*J655</f>
        <v>75</v>
      </c>
      <c r="L655" s="19">
        <f t="shared" si="31"/>
        <v>1.125</v>
      </c>
      <c r="M655" s="19">
        <f t="shared" si="32"/>
        <v>1.5</v>
      </c>
      <c r="N655" s="13" cm="1">
        <f t="array" ref="N655">_xlfn.IFS(C655=2023,K655*$P$2,C655=2024,K655*$P$3)</f>
        <v>1.125</v>
      </c>
    </row>
    <row r="656" spans="1:14">
      <c r="A656" s="2">
        <v>655</v>
      </c>
      <c r="B656" s="3">
        <v>45090</v>
      </c>
      <c r="C656" s="4">
        <f t="shared" si="30"/>
        <v>2023</v>
      </c>
      <c r="D656" s="4" t="s">
        <v>702</v>
      </c>
      <c r="E656" s="4" t="s">
        <v>20</v>
      </c>
      <c r="F656" s="4">
        <v>55</v>
      </c>
      <c r="G656" s="4" t="str" cm="1">
        <f t="array" ref="G656">_xlfn.IFS(F656&lt;30,"Young Adult",F656&lt;50,"Adult",F656&gt;=50,"Senior")</f>
        <v>Senior</v>
      </c>
      <c r="H656" s="4" t="s">
        <v>21</v>
      </c>
      <c r="I656" s="4">
        <v>1</v>
      </c>
      <c r="J656" s="11">
        <v>500</v>
      </c>
      <c r="K656" s="13">
        <f>I656*J656</f>
        <v>500</v>
      </c>
      <c r="L656" s="19">
        <f t="shared" si="31"/>
        <v>7.5</v>
      </c>
      <c r="M656" s="19">
        <f t="shared" si="32"/>
        <v>10</v>
      </c>
      <c r="N656" s="13" cm="1">
        <f t="array" ref="N656">_xlfn.IFS(C656=2023,K656*$P$2,C656=2024,K656*$P$3)</f>
        <v>7.5</v>
      </c>
    </row>
    <row r="657" spans="1:14">
      <c r="A657" s="2">
        <v>656</v>
      </c>
      <c r="B657" s="3">
        <v>45203</v>
      </c>
      <c r="C657" s="4">
        <f t="shared" si="30"/>
        <v>2023</v>
      </c>
      <c r="D657" s="4" t="s">
        <v>703</v>
      </c>
      <c r="E657" s="4" t="s">
        <v>16</v>
      </c>
      <c r="F657" s="4">
        <v>29</v>
      </c>
      <c r="G657" s="4" t="str" cm="1">
        <f t="array" ref="G657">_xlfn.IFS(F657&lt;30,"Young Adult",F657&lt;50,"Adult",F657&gt;=50,"Senior")</f>
        <v>Young Adult</v>
      </c>
      <c r="H657" s="4" t="s">
        <v>17</v>
      </c>
      <c r="I657" s="4">
        <v>3</v>
      </c>
      <c r="J657" s="11">
        <v>30</v>
      </c>
      <c r="K657" s="13">
        <f>I657*J657</f>
        <v>90</v>
      </c>
      <c r="L657" s="19">
        <f t="shared" si="31"/>
        <v>1.3499999999999999</v>
      </c>
      <c r="M657" s="19">
        <f t="shared" si="32"/>
        <v>1.8</v>
      </c>
      <c r="N657" s="13" cm="1">
        <f t="array" ref="N657">_xlfn.IFS(C657=2023,K657*$P$2,C657=2024,K657*$P$3)</f>
        <v>1.3499999999999999</v>
      </c>
    </row>
    <row r="658" spans="1:14">
      <c r="A658" s="2">
        <v>657</v>
      </c>
      <c r="B658" s="3">
        <v>44968</v>
      </c>
      <c r="C658" s="4">
        <f t="shared" si="30"/>
        <v>2023</v>
      </c>
      <c r="D658" s="4" t="s">
        <v>704</v>
      </c>
      <c r="E658" s="4" t="s">
        <v>16</v>
      </c>
      <c r="F658" s="4">
        <v>40</v>
      </c>
      <c r="G658" s="4" t="str" cm="1">
        <f t="array" ref="G658">_xlfn.IFS(F658&lt;30,"Young Adult",F658&lt;50,"Adult",F658&gt;=50,"Senior")</f>
        <v>Adult</v>
      </c>
      <c r="H658" s="4" t="s">
        <v>21</v>
      </c>
      <c r="I658" s="4">
        <v>1</v>
      </c>
      <c r="J658" s="11">
        <v>25</v>
      </c>
      <c r="K658" s="13">
        <f>I658*J658</f>
        <v>25</v>
      </c>
      <c r="L658" s="19">
        <f t="shared" si="31"/>
        <v>0.375</v>
      </c>
      <c r="M658" s="19">
        <f t="shared" si="32"/>
        <v>0.5</v>
      </c>
      <c r="N658" s="13" cm="1">
        <f t="array" ref="N658">_xlfn.IFS(C658=2023,K658*$P$2,C658=2024,K658*$P$3)</f>
        <v>0.375</v>
      </c>
    </row>
    <row r="659" spans="1:14">
      <c r="A659" s="2">
        <v>658</v>
      </c>
      <c r="B659" s="3">
        <v>44997</v>
      </c>
      <c r="C659" s="4">
        <f t="shared" si="30"/>
        <v>2023</v>
      </c>
      <c r="D659" s="4" t="s">
        <v>705</v>
      </c>
      <c r="E659" s="4" t="s">
        <v>16</v>
      </c>
      <c r="F659" s="4">
        <v>59</v>
      </c>
      <c r="G659" s="4" t="str" cm="1">
        <f t="array" ref="G659">_xlfn.IFS(F659&lt;30,"Young Adult",F659&lt;50,"Adult",F659&gt;=50,"Senior")</f>
        <v>Senior</v>
      </c>
      <c r="H659" s="4" t="s">
        <v>21</v>
      </c>
      <c r="I659" s="4">
        <v>1</v>
      </c>
      <c r="J659" s="11">
        <v>25</v>
      </c>
      <c r="K659" s="13">
        <f>I659*J659</f>
        <v>25</v>
      </c>
      <c r="L659" s="19">
        <f t="shared" si="31"/>
        <v>0.375</v>
      </c>
      <c r="M659" s="19">
        <f t="shared" si="32"/>
        <v>0.5</v>
      </c>
      <c r="N659" s="13" cm="1">
        <f t="array" ref="N659">_xlfn.IFS(C659=2023,K659*$P$2,C659=2024,K659*$P$3)</f>
        <v>0.375</v>
      </c>
    </row>
    <row r="660" spans="1:14">
      <c r="A660" s="2">
        <v>659</v>
      </c>
      <c r="B660" s="3">
        <v>45004</v>
      </c>
      <c r="C660" s="4">
        <f t="shared" si="30"/>
        <v>2023</v>
      </c>
      <c r="D660" s="4" t="s">
        <v>706</v>
      </c>
      <c r="E660" s="4" t="s">
        <v>20</v>
      </c>
      <c r="F660" s="4">
        <v>39</v>
      </c>
      <c r="G660" s="4" t="str" cm="1">
        <f t="array" ref="G660">_xlfn.IFS(F660&lt;30,"Young Adult",F660&lt;50,"Adult",F660&gt;=50,"Senior")</f>
        <v>Adult</v>
      </c>
      <c r="H660" s="4" t="s">
        <v>24</v>
      </c>
      <c r="I660" s="4">
        <v>1</v>
      </c>
      <c r="J660" s="11">
        <v>30</v>
      </c>
      <c r="K660" s="13">
        <f>I660*J660</f>
        <v>30</v>
      </c>
      <c r="L660" s="19">
        <f t="shared" si="31"/>
        <v>0.44999999999999996</v>
      </c>
      <c r="M660" s="19">
        <f t="shared" si="32"/>
        <v>0.6</v>
      </c>
      <c r="N660" s="13" cm="1">
        <f t="array" ref="N660">_xlfn.IFS(C660=2023,K660*$P$2,C660=2024,K660*$P$3)</f>
        <v>0.44999999999999996</v>
      </c>
    </row>
    <row r="661" spans="1:14">
      <c r="A661" s="2">
        <v>660</v>
      </c>
      <c r="B661" s="3">
        <v>45045</v>
      </c>
      <c r="C661" s="4">
        <f t="shared" si="30"/>
        <v>2023</v>
      </c>
      <c r="D661" s="4" t="s">
        <v>707</v>
      </c>
      <c r="E661" s="4" t="s">
        <v>20</v>
      </c>
      <c r="F661" s="4">
        <v>38</v>
      </c>
      <c r="G661" s="4" t="str" cm="1">
        <f t="array" ref="G661">_xlfn.IFS(F661&lt;30,"Young Adult",F661&lt;50,"Adult",F661&gt;=50,"Senior")</f>
        <v>Adult</v>
      </c>
      <c r="H661" s="4" t="s">
        <v>17</v>
      </c>
      <c r="I661" s="4">
        <v>2</v>
      </c>
      <c r="J661" s="11">
        <v>500</v>
      </c>
      <c r="K661" s="13">
        <f>I661*J661</f>
        <v>1000</v>
      </c>
      <c r="L661" s="19">
        <f t="shared" si="31"/>
        <v>15</v>
      </c>
      <c r="M661" s="19">
        <f t="shared" si="32"/>
        <v>20</v>
      </c>
      <c r="N661" s="13" cm="1">
        <f t="array" ref="N661">_xlfn.IFS(C661=2023,K661*$P$2,C661=2024,K661*$P$3)</f>
        <v>15</v>
      </c>
    </row>
    <row r="662" spans="1:14">
      <c r="A662" s="2">
        <v>661</v>
      </c>
      <c r="B662" s="3">
        <v>45123</v>
      </c>
      <c r="C662" s="4">
        <f t="shared" si="30"/>
        <v>2023</v>
      </c>
      <c r="D662" s="4" t="s">
        <v>708</v>
      </c>
      <c r="E662" s="4" t="s">
        <v>20</v>
      </c>
      <c r="F662" s="4">
        <v>44</v>
      </c>
      <c r="G662" s="4" t="str" cm="1">
        <f t="array" ref="G662">_xlfn.IFS(F662&lt;30,"Young Adult",F662&lt;50,"Adult",F662&gt;=50,"Senior")</f>
        <v>Adult</v>
      </c>
      <c r="H662" s="4" t="s">
        <v>21</v>
      </c>
      <c r="I662" s="4">
        <v>4</v>
      </c>
      <c r="J662" s="11">
        <v>25</v>
      </c>
      <c r="K662" s="13">
        <f>I662*J662</f>
        <v>100</v>
      </c>
      <c r="L662" s="19">
        <f t="shared" si="31"/>
        <v>1.5</v>
      </c>
      <c r="M662" s="19">
        <f t="shared" si="32"/>
        <v>2</v>
      </c>
      <c r="N662" s="13" cm="1">
        <f t="array" ref="N662">_xlfn.IFS(C662=2023,K662*$P$2,C662=2024,K662*$P$3)</f>
        <v>1.5</v>
      </c>
    </row>
    <row r="663" spans="1:14">
      <c r="A663" s="2">
        <v>662</v>
      </c>
      <c r="B663" s="3">
        <v>45282</v>
      </c>
      <c r="C663" s="4">
        <f t="shared" si="30"/>
        <v>2023</v>
      </c>
      <c r="D663" s="4" t="s">
        <v>709</v>
      </c>
      <c r="E663" s="4" t="s">
        <v>16</v>
      </c>
      <c r="F663" s="4">
        <v>48</v>
      </c>
      <c r="G663" s="4" t="str" cm="1">
        <f t="array" ref="G663">_xlfn.IFS(F663&lt;30,"Young Adult",F663&lt;50,"Adult",F663&gt;=50,"Senior")</f>
        <v>Adult</v>
      </c>
      <c r="H663" s="4" t="s">
        <v>17</v>
      </c>
      <c r="I663" s="4">
        <v>2</v>
      </c>
      <c r="J663" s="11">
        <v>500</v>
      </c>
      <c r="K663" s="13">
        <f>I663*J663</f>
        <v>1000</v>
      </c>
      <c r="L663" s="19">
        <f t="shared" si="31"/>
        <v>15</v>
      </c>
      <c r="M663" s="19">
        <f t="shared" si="32"/>
        <v>20</v>
      </c>
      <c r="N663" s="13" cm="1">
        <f t="array" ref="N663">_xlfn.IFS(C663=2023,K663*$P$2,C663=2024,K663*$P$3)</f>
        <v>15</v>
      </c>
    </row>
    <row r="664" spans="1:14">
      <c r="A664" s="2">
        <v>663</v>
      </c>
      <c r="B664" s="3">
        <v>45005</v>
      </c>
      <c r="C664" s="4">
        <f t="shared" si="30"/>
        <v>2023</v>
      </c>
      <c r="D664" s="4" t="s">
        <v>710</v>
      </c>
      <c r="E664" s="4" t="s">
        <v>16</v>
      </c>
      <c r="F664" s="4">
        <v>23</v>
      </c>
      <c r="G664" s="4" t="str" cm="1">
        <f t="array" ref="G664">_xlfn.IFS(F664&lt;30,"Young Adult",F664&lt;50,"Adult",F664&gt;=50,"Senior")</f>
        <v>Young Adult</v>
      </c>
      <c r="H664" s="4" t="s">
        <v>21</v>
      </c>
      <c r="I664" s="4">
        <v>4</v>
      </c>
      <c r="J664" s="11">
        <v>300</v>
      </c>
      <c r="K664" s="13">
        <f>I664*J664</f>
        <v>1200</v>
      </c>
      <c r="L664" s="19">
        <f t="shared" si="31"/>
        <v>18</v>
      </c>
      <c r="M664" s="19">
        <f t="shared" si="32"/>
        <v>24</v>
      </c>
      <c r="N664" s="13" cm="1">
        <f t="array" ref="N664">_xlfn.IFS(C664=2023,K664*$P$2,C664=2024,K664*$P$3)</f>
        <v>18</v>
      </c>
    </row>
    <row r="665" spans="1:14">
      <c r="A665" s="2">
        <v>664</v>
      </c>
      <c r="B665" s="3">
        <v>45288</v>
      </c>
      <c r="C665" s="4">
        <f t="shared" si="30"/>
        <v>2023</v>
      </c>
      <c r="D665" s="4" t="s">
        <v>711</v>
      </c>
      <c r="E665" s="4" t="s">
        <v>20</v>
      </c>
      <c r="F665" s="4">
        <v>44</v>
      </c>
      <c r="G665" s="4" t="str" cm="1">
        <f t="array" ref="G665">_xlfn.IFS(F665&lt;30,"Young Adult",F665&lt;50,"Adult",F665&gt;=50,"Senior")</f>
        <v>Adult</v>
      </c>
      <c r="H665" s="4" t="s">
        <v>21</v>
      </c>
      <c r="I665" s="4">
        <v>4</v>
      </c>
      <c r="J665" s="11">
        <v>500</v>
      </c>
      <c r="K665" s="13">
        <f>I665*J665</f>
        <v>2000</v>
      </c>
      <c r="L665" s="19">
        <f t="shared" si="31"/>
        <v>30</v>
      </c>
      <c r="M665" s="19">
        <f t="shared" si="32"/>
        <v>40</v>
      </c>
      <c r="N665" s="13" cm="1">
        <f t="array" ref="N665">_xlfn.IFS(C665=2023,K665*$P$2,C665=2024,K665*$P$3)</f>
        <v>30</v>
      </c>
    </row>
    <row r="666" spans="1:14">
      <c r="A666" s="2">
        <v>665</v>
      </c>
      <c r="B666" s="3">
        <v>45036</v>
      </c>
      <c r="C666" s="4">
        <f t="shared" si="30"/>
        <v>2023</v>
      </c>
      <c r="D666" s="4" t="s">
        <v>712</v>
      </c>
      <c r="E666" s="4" t="s">
        <v>16</v>
      </c>
      <c r="F666" s="4">
        <v>57</v>
      </c>
      <c r="G666" s="4" t="str" cm="1">
        <f t="array" ref="G666">_xlfn.IFS(F666&lt;30,"Young Adult",F666&lt;50,"Adult",F666&gt;=50,"Senior")</f>
        <v>Senior</v>
      </c>
      <c r="H666" s="4" t="s">
        <v>21</v>
      </c>
      <c r="I666" s="4">
        <v>1</v>
      </c>
      <c r="J666" s="11">
        <v>50</v>
      </c>
      <c r="K666" s="13">
        <f>I666*J666</f>
        <v>50</v>
      </c>
      <c r="L666" s="19">
        <f t="shared" si="31"/>
        <v>0.75</v>
      </c>
      <c r="M666" s="19">
        <f t="shared" si="32"/>
        <v>1</v>
      </c>
      <c r="N666" s="13" cm="1">
        <f t="array" ref="N666">_xlfn.IFS(C666=2023,K666*$P$2,C666=2024,K666*$P$3)</f>
        <v>0.75</v>
      </c>
    </row>
    <row r="667" spans="1:14">
      <c r="A667" s="2">
        <v>666</v>
      </c>
      <c r="B667" s="3">
        <v>44959</v>
      </c>
      <c r="C667" s="4">
        <f t="shared" si="30"/>
        <v>2023</v>
      </c>
      <c r="D667" s="4" t="s">
        <v>713</v>
      </c>
      <c r="E667" s="4" t="s">
        <v>16</v>
      </c>
      <c r="F667" s="4">
        <v>51</v>
      </c>
      <c r="G667" s="4" t="str" cm="1">
        <f t="array" ref="G667">_xlfn.IFS(F667&lt;30,"Young Adult",F667&lt;50,"Adult",F667&gt;=50,"Senior")</f>
        <v>Senior</v>
      </c>
      <c r="H667" s="4" t="s">
        <v>24</v>
      </c>
      <c r="I667" s="4">
        <v>3</v>
      </c>
      <c r="J667" s="11">
        <v>50</v>
      </c>
      <c r="K667" s="13">
        <f>I667*J667</f>
        <v>150</v>
      </c>
      <c r="L667" s="19">
        <f t="shared" si="31"/>
        <v>2.25</v>
      </c>
      <c r="M667" s="19">
        <f t="shared" si="32"/>
        <v>3</v>
      </c>
      <c r="N667" s="13" cm="1">
        <f t="array" ref="N667">_xlfn.IFS(C667=2023,K667*$P$2,C667=2024,K667*$P$3)</f>
        <v>2.25</v>
      </c>
    </row>
    <row r="668" spans="1:14">
      <c r="A668" s="2">
        <v>667</v>
      </c>
      <c r="B668" s="3">
        <v>45139</v>
      </c>
      <c r="C668" s="4">
        <f t="shared" si="30"/>
        <v>2023</v>
      </c>
      <c r="D668" s="4" t="s">
        <v>714</v>
      </c>
      <c r="E668" s="4" t="s">
        <v>20</v>
      </c>
      <c r="F668" s="4">
        <v>29</v>
      </c>
      <c r="G668" s="4" t="str" cm="1">
        <f t="array" ref="G668">_xlfn.IFS(F668&lt;30,"Young Adult",F668&lt;50,"Adult",F668&gt;=50,"Senior")</f>
        <v>Young Adult</v>
      </c>
      <c r="H668" s="4" t="s">
        <v>24</v>
      </c>
      <c r="I668" s="4">
        <v>1</v>
      </c>
      <c r="J668" s="11">
        <v>500</v>
      </c>
      <c r="K668" s="13">
        <f>I668*J668</f>
        <v>500</v>
      </c>
      <c r="L668" s="19">
        <f t="shared" si="31"/>
        <v>7.5</v>
      </c>
      <c r="M668" s="19">
        <f t="shared" si="32"/>
        <v>10</v>
      </c>
      <c r="N668" s="13" cm="1">
        <f t="array" ref="N668">_xlfn.IFS(C668=2023,K668*$P$2,C668=2024,K668*$P$3)</f>
        <v>7.5</v>
      </c>
    </row>
    <row r="669" spans="1:14">
      <c r="A669" s="2">
        <v>668</v>
      </c>
      <c r="B669" s="3">
        <v>45135</v>
      </c>
      <c r="C669" s="4">
        <f t="shared" si="30"/>
        <v>2023</v>
      </c>
      <c r="D669" s="4" t="s">
        <v>715</v>
      </c>
      <c r="E669" s="4" t="s">
        <v>20</v>
      </c>
      <c r="F669" s="4">
        <v>62</v>
      </c>
      <c r="G669" s="4" t="str" cm="1">
        <f t="array" ref="G669">_xlfn.IFS(F669&lt;30,"Young Adult",F669&lt;50,"Adult",F669&gt;=50,"Senior")</f>
        <v>Senior</v>
      </c>
      <c r="H669" s="4" t="s">
        <v>24</v>
      </c>
      <c r="I669" s="4">
        <v>3</v>
      </c>
      <c r="J669" s="11">
        <v>50</v>
      </c>
      <c r="K669" s="13">
        <f>I669*J669</f>
        <v>150</v>
      </c>
      <c r="L669" s="19">
        <f t="shared" si="31"/>
        <v>2.25</v>
      </c>
      <c r="M669" s="19">
        <f t="shared" si="32"/>
        <v>3</v>
      </c>
      <c r="N669" s="13" cm="1">
        <f t="array" ref="N669">_xlfn.IFS(C669=2023,K669*$P$2,C669=2024,K669*$P$3)</f>
        <v>2.25</v>
      </c>
    </row>
    <row r="670" spans="1:14">
      <c r="A670" s="2">
        <v>669</v>
      </c>
      <c r="B670" s="3">
        <v>45096</v>
      </c>
      <c r="C670" s="4">
        <f t="shared" si="30"/>
        <v>2023</v>
      </c>
      <c r="D670" s="4" t="s">
        <v>716</v>
      </c>
      <c r="E670" s="4" t="s">
        <v>16</v>
      </c>
      <c r="F670" s="4">
        <v>24</v>
      </c>
      <c r="G670" s="4" t="str" cm="1">
        <f t="array" ref="G670">_xlfn.IFS(F670&lt;30,"Young Adult",F670&lt;50,"Adult",F670&gt;=50,"Senior")</f>
        <v>Young Adult</v>
      </c>
      <c r="H670" s="4" t="s">
        <v>17</v>
      </c>
      <c r="I670" s="4">
        <v>4</v>
      </c>
      <c r="J670" s="11">
        <v>300</v>
      </c>
      <c r="K670" s="13">
        <f>I670*J670</f>
        <v>1200</v>
      </c>
      <c r="L670" s="19">
        <f t="shared" si="31"/>
        <v>18</v>
      </c>
      <c r="M670" s="19">
        <f t="shared" si="32"/>
        <v>24</v>
      </c>
      <c r="N670" s="13" cm="1">
        <f t="array" ref="N670">_xlfn.IFS(C670=2023,K670*$P$2,C670=2024,K670*$P$3)</f>
        <v>18</v>
      </c>
    </row>
    <row r="671" spans="1:14">
      <c r="A671" s="2">
        <v>670</v>
      </c>
      <c r="B671" s="3">
        <v>45204</v>
      </c>
      <c r="C671" s="4">
        <f t="shared" si="30"/>
        <v>2023</v>
      </c>
      <c r="D671" s="4" t="s">
        <v>717</v>
      </c>
      <c r="E671" s="4" t="s">
        <v>16</v>
      </c>
      <c r="F671" s="4">
        <v>27</v>
      </c>
      <c r="G671" s="4" t="str" cm="1">
        <f t="array" ref="G671">_xlfn.IFS(F671&lt;30,"Young Adult",F671&lt;50,"Adult",F671&gt;=50,"Senior")</f>
        <v>Young Adult</v>
      </c>
      <c r="H671" s="4" t="s">
        <v>17</v>
      </c>
      <c r="I671" s="4">
        <v>1</v>
      </c>
      <c r="J671" s="11">
        <v>30</v>
      </c>
      <c r="K671" s="13">
        <f>I671*J671</f>
        <v>30</v>
      </c>
      <c r="L671" s="19">
        <f t="shared" si="31"/>
        <v>0.44999999999999996</v>
      </c>
      <c r="M671" s="19">
        <f t="shared" si="32"/>
        <v>0.6</v>
      </c>
      <c r="N671" s="13" cm="1">
        <f t="array" ref="N671">_xlfn.IFS(C671=2023,K671*$P$2,C671=2024,K671*$P$3)</f>
        <v>0.44999999999999996</v>
      </c>
    </row>
    <row r="672" spans="1:14">
      <c r="A672" s="2">
        <v>671</v>
      </c>
      <c r="B672" s="3">
        <v>45165</v>
      </c>
      <c r="C672" s="4">
        <f t="shared" si="30"/>
        <v>2023</v>
      </c>
      <c r="D672" s="4" t="s">
        <v>718</v>
      </c>
      <c r="E672" s="4" t="s">
        <v>16</v>
      </c>
      <c r="F672" s="4">
        <v>62</v>
      </c>
      <c r="G672" s="4" t="str" cm="1">
        <f t="array" ref="G672">_xlfn.IFS(F672&lt;30,"Young Adult",F672&lt;50,"Adult",F672&gt;=50,"Senior")</f>
        <v>Senior</v>
      </c>
      <c r="H672" s="4" t="s">
        <v>24</v>
      </c>
      <c r="I672" s="4">
        <v>3</v>
      </c>
      <c r="J672" s="11">
        <v>50</v>
      </c>
      <c r="K672" s="13">
        <f>I672*J672</f>
        <v>150</v>
      </c>
      <c r="L672" s="19">
        <f t="shared" si="31"/>
        <v>2.25</v>
      </c>
      <c r="M672" s="19">
        <f t="shared" si="32"/>
        <v>3</v>
      </c>
      <c r="N672" s="13" cm="1">
        <f t="array" ref="N672">_xlfn.IFS(C672=2023,K672*$P$2,C672=2024,K672*$P$3)</f>
        <v>2.25</v>
      </c>
    </row>
    <row r="673" spans="1:14">
      <c r="A673" s="2">
        <v>672</v>
      </c>
      <c r="B673" s="3">
        <v>45139</v>
      </c>
      <c r="C673" s="4">
        <f t="shared" si="30"/>
        <v>2023</v>
      </c>
      <c r="D673" s="4" t="s">
        <v>719</v>
      </c>
      <c r="E673" s="4" t="s">
        <v>20</v>
      </c>
      <c r="F673" s="4">
        <v>34</v>
      </c>
      <c r="G673" s="4" t="str" cm="1">
        <f t="array" ref="G673">_xlfn.IFS(F673&lt;30,"Young Adult",F673&lt;50,"Adult",F673&gt;=50,"Senior")</f>
        <v>Adult</v>
      </c>
      <c r="H673" s="4" t="s">
        <v>17</v>
      </c>
      <c r="I673" s="4">
        <v>2</v>
      </c>
      <c r="J673" s="11">
        <v>50</v>
      </c>
      <c r="K673" s="13">
        <f>I673*J673</f>
        <v>100</v>
      </c>
      <c r="L673" s="19">
        <f t="shared" si="31"/>
        <v>1.5</v>
      </c>
      <c r="M673" s="19">
        <f t="shared" si="32"/>
        <v>2</v>
      </c>
      <c r="N673" s="13" cm="1">
        <f t="array" ref="N673">_xlfn.IFS(C673=2023,K673*$P$2,C673=2024,K673*$P$3)</f>
        <v>1.5</v>
      </c>
    </row>
    <row r="674" spans="1:14">
      <c r="A674" s="2">
        <v>673</v>
      </c>
      <c r="B674" s="3">
        <v>44958</v>
      </c>
      <c r="C674" s="4">
        <f t="shared" si="30"/>
        <v>2023</v>
      </c>
      <c r="D674" s="4" t="s">
        <v>720</v>
      </c>
      <c r="E674" s="4" t="s">
        <v>20</v>
      </c>
      <c r="F674" s="4">
        <v>43</v>
      </c>
      <c r="G674" s="4" t="str" cm="1">
        <f t="array" ref="G674">_xlfn.IFS(F674&lt;30,"Young Adult",F674&lt;50,"Adult",F674&gt;=50,"Senior")</f>
        <v>Adult</v>
      </c>
      <c r="H674" s="4" t="s">
        <v>21</v>
      </c>
      <c r="I674" s="4">
        <v>3</v>
      </c>
      <c r="J674" s="11">
        <v>500</v>
      </c>
      <c r="K674" s="13">
        <f>I674*J674</f>
        <v>1500</v>
      </c>
      <c r="L674" s="19">
        <f t="shared" si="31"/>
        <v>22.5</v>
      </c>
      <c r="M674" s="19">
        <f t="shared" si="32"/>
        <v>30</v>
      </c>
      <c r="N674" s="13" cm="1">
        <f t="array" ref="N674">_xlfn.IFS(C674=2023,K674*$P$2,C674=2024,K674*$P$3)</f>
        <v>22.5</v>
      </c>
    </row>
    <row r="675" spans="1:14">
      <c r="A675" s="2">
        <v>674</v>
      </c>
      <c r="B675" s="3">
        <v>45032</v>
      </c>
      <c r="C675" s="4">
        <f t="shared" si="30"/>
        <v>2023</v>
      </c>
      <c r="D675" s="4" t="s">
        <v>721</v>
      </c>
      <c r="E675" s="4" t="s">
        <v>20</v>
      </c>
      <c r="F675" s="4">
        <v>38</v>
      </c>
      <c r="G675" s="4" t="str" cm="1">
        <f t="array" ref="G675">_xlfn.IFS(F675&lt;30,"Young Adult",F675&lt;50,"Adult",F675&gt;=50,"Senior")</f>
        <v>Adult</v>
      </c>
      <c r="H675" s="4" t="s">
        <v>21</v>
      </c>
      <c r="I675" s="4">
        <v>1</v>
      </c>
      <c r="J675" s="11">
        <v>300</v>
      </c>
      <c r="K675" s="13">
        <f>I675*J675</f>
        <v>300</v>
      </c>
      <c r="L675" s="19">
        <f t="shared" si="31"/>
        <v>4.5</v>
      </c>
      <c r="M675" s="19">
        <f t="shared" si="32"/>
        <v>6</v>
      </c>
      <c r="N675" s="13" cm="1">
        <f t="array" ref="N675">_xlfn.IFS(C675=2023,K675*$P$2,C675=2024,K675*$P$3)</f>
        <v>4.5</v>
      </c>
    </row>
    <row r="676" spans="1:14">
      <c r="A676" s="2">
        <v>675</v>
      </c>
      <c r="B676" s="3">
        <v>45142</v>
      </c>
      <c r="C676" s="4">
        <f t="shared" si="30"/>
        <v>2023</v>
      </c>
      <c r="D676" s="4" t="s">
        <v>722</v>
      </c>
      <c r="E676" s="4" t="s">
        <v>20</v>
      </c>
      <c r="F676" s="4">
        <v>45</v>
      </c>
      <c r="G676" s="4" t="str" cm="1">
        <f t="array" ref="G676">_xlfn.IFS(F676&lt;30,"Young Adult",F676&lt;50,"Adult",F676&gt;=50,"Senior")</f>
        <v>Adult</v>
      </c>
      <c r="H676" s="4" t="s">
        <v>21</v>
      </c>
      <c r="I676" s="4">
        <v>2</v>
      </c>
      <c r="J676" s="11">
        <v>30</v>
      </c>
      <c r="K676" s="13">
        <f>I676*J676</f>
        <v>60</v>
      </c>
      <c r="L676" s="19">
        <f t="shared" si="31"/>
        <v>0.89999999999999991</v>
      </c>
      <c r="M676" s="19">
        <f t="shared" si="32"/>
        <v>1.2</v>
      </c>
      <c r="N676" s="13" cm="1">
        <f t="array" ref="N676">_xlfn.IFS(C676=2023,K676*$P$2,C676=2024,K676*$P$3)</f>
        <v>0.89999999999999991</v>
      </c>
    </row>
    <row r="677" spans="1:14">
      <c r="A677" s="2">
        <v>676</v>
      </c>
      <c r="B677" s="3">
        <v>45126</v>
      </c>
      <c r="C677" s="4">
        <f t="shared" si="30"/>
        <v>2023</v>
      </c>
      <c r="D677" s="4" t="s">
        <v>723</v>
      </c>
      <c r="E677" s="4" t="s">
        <v>16</v>
      </c>
      <c r="F677" s="4">
        <v>63</v>
      </c>
      <c r="G677" s="4" t="str" cm="1">
        <f t="array" ref="G677">_xlfn.IFS(F677&lt;30,"Young Adult",F677&lt;50,"Adult",F677&gt;=50,"Senior")</f>
        <v>Senior</v>
      </c>
      <c r="H677" s="4" t="s">
        <v>24</v>
      </c>
      <c r="I677" s="4">
        <v>3</v>
      </c>
      <c r="J677" s="11">
        <v>500</v>
      </c>
      <c r="K677" s="13">
        <f>I677*J677</f>
        <v>1500</v>
      </c>
      <c r="L677" s="19">
        <f t="shared" si="31"/>
        <v>22.5</v>
      </c>
      <c r="M677" s="19">
        <f t="shared" si="32"/>
        <v>30</v>
      </c>
      <c r="N677" s="13" cm="1">
        <f t="array" ref="N677">_xlfn.IFS(C677=2023,K677*$P$2,C677=2024,K677*$P$3)</f>
        <v>22.5</v>
      </c>
    </row>
    <row r="678" spans="1:14">
      <c r="A678" s="2">
        <v>677</v>
      </c>
      <c r="B678" s="3">
        <v>45226</v>
      </c>
      <c r="C678" s="4">
        <f t="shared" si="30"/>
        <v>2023</v>
      </c>
      <c r="D678" s="4" t="s">
        <v>724</v>
      </c>
      <c r="E678" s="4" t="s">
        <v>20</v>
      </c>
      <c r="F678" s="4">
        <v>19</v>
      </c>
      <c r="G678" s="4" t="str" cm="1">
        <f t="array" ref="G678">_xlfn.IFS(F678&lt;30,"Young Adult",F678&lt;50,"Adult",F678&gt;=50,"Senior")</f>
        <v>Young Adult</v>
      </c>
      <c r="H678" s="4" t="s">
        <v>17</v>
      </c>
      <c r="I678" s="4">
        <v>3</v>
      </c>
      <c r="J678" s="11">
        <v>500</v>
      </c>
      <c r="K678" s="13">
        <f>I678*J678</f>
        <v>1500</v>
      </c>
      <c r="L678" s="19">
        <f t="shared" si="31"/>
        <v>22.5</v>
      </c>
      <c r="M678" s="19">
        <f t="shared" si="32"/>
        <v>30</v>
      </c>
      <c r="N678" s="13" cm="1">
        <f t="array" ref="N678">_xlfn.IFS(C678=2023,K678*$P$2,C678=2024,K678*$P$3)</f>
        <v>22.5</v>
      </c>
    </row>
    <row r="679" spans="1:14">
      <c r="A679" s="2">
        <v>678</v>
      </c>
      <c r="B679" s="3">
        <v>45283</v>
      </c>
      <c r="C679" s="4">
        <f t="shared" si="30"/>
        <v>2023</v>
      </c>
      <c r="D679" s="4" t="s">
        <v>725</v>
      </c>
      <c r="E679" s="4" t="s">
        <v>20</v>
      </c>
      <c r="F679" s="4">
        <v>60</v>
      </c>
      <c r="G679" s="4" t="str" cm="1">
        <f t="array" ref="G679">_xlfn.IFS(F679&lt;30,"Young Adult",F679&lt;50,"Adult",F679&gt;=50,"Senior")</f>
        <v>Senior</v>
      </c>
      <c r="H679" s="4" t="s">
        <v>24</v>
      </c>
      <c r="I679" s="4">
        <v>3</v>
      </c>
      <c r="J679" s="11">
        <v>300</v>
      </c>
      <c r="K679" s="13">
        <f>I679*J679</f>
        <v>900</v>
      </c>
      <c r="L679" s="19">
        <f t="shared" si="31"/>
        <v>13.5</v>
      </c>
      <c r="M679" s="19">
        <f t="shared" si="32"/>
        <v>18</v>
      </c>
      <c r="N679" s="13" cm="1">
        <f t="array" ref="N679">_xlfn.IFS(C679=2023,K679*$P$2,C679=2024,K679*$P$3)</f>
        <v>13.5</v>
      </c>
    </row>
    <row r="680" spans="1:14">
      <c r="A680" s="2">
        <v>679</v>
      </c>
      <c r="B680" s="3">
        <v>44937</v>
      </c>
      <c r="C680" s="4">
        <f t="shared" si="30"/>
        <v>2023</v>
      </c>
      <c r="D680" s="4" t="s">
        <v>726</v>
      </c>
      <c r="E680" s="4" t="s">
        <v>20</v>
      </c>
      <c r="F680" s="4">
        <v>18</v>
      </c>
      <c r="G680" s="4" t="str" cm="1">
        <f t="array" ref="G680">_xlfn.IFS(F680&lt;30,"Young Adult",F680&lt;50,"Adult",F680&gt;=50,"Senior")</f>
        <v>Young Adult</v>
      </c>
      <c r="H680" s="4" t="s">
        <v>17</v>
      </c>
      <c r="I680" s="4">
        <v>3</v>
      </c>
      <c r="J680" s="11">
        <v>30</v>
      </c>
      <c r="K680" s="13">
        <f>I680*J680</f>
        <v>90</v>
      </c>
      <c r="L680" s="19">
        <f t="shared" si="31"/>
        <v>1.3499999999999999</v>
      </c>
      <c r="M680" s="19">
        <f t="shared" si="32"/>
        <v>1.8</v>
      </c>
      <c r="N680" s="13" cm="1">
        <f t="array" ref="N680">_xlfn.IFS(C680=2023,K680*$P$2,C680=2024,K680*$P$3)</f>
        <v>1.3499999999999999</v>
      </c>
    </row>
    <row r="681" spans="1:14">
      <c r="A681" s="2">
        <v>680</v>
      </c>
      <c r="B681" s="3">
        <v>45221</v>
      </c>
      <c r="C681" s="4">
        <f t="shared" si="30"/>
        <v>2023</v>
      </c>
      <c r="D681" s="4" t="s">
        <v>727</v>
      </c>
      <c r="E681" s="4" t="s">
        <v>20</v>
      </c>
      <c r="F681" s="4">
        <v>53</v>
      </c>
      <c r="G681" s="4" t="str" cm="1">
        <f t="array" ref="G681">_xlfn.IFS(F681&lt;30,"Young Adult",F681&lt;50,"Adult",F681&gt;=50,"Senior")</f>
        <v>Senior</v>
      </c>
      <c r="H681" s="4" t="s">
        <v>21</v>
      </c>
      <c r="I681" s="4">
        <v>3</v>
      </c>
      <c r="J681" s="11">
        <v>300</v>
      </c>
      <c r="K681" s="13">
        <f>I681*J681</f>
        <v>900</v>
      </c>
      <c r="L681" s="19">
        <f t="shared" si="31"/>
        <v>13.5</v>
      </c>
      <c r="M681" s="19">
        <f t="shared" si="32"/>
        <v>18</v>
      </c>
      <c r="N681" s="13" cm="1">
        <f t="array" ref="N681">_xlfn.IFS(C681=2023,K681*$P$2,C681=2024,K681*$P$3)</f>
        <v>13.5</v>
      </c>
    </row>
    <row r="682" spans="1:14">
      <c r="A682" s="2">
        <v>681</v>
      </c>
      <c r="B682" s="3">
        <v>45121</v>
      </c>
      <c r="C682" s="4">
        <f t="shared" si="30"/>
        <v>2023</v>
      </c>
      <c r="D682" s="4" t="s">
        <v>728</v>
      </c>
      <c r="E682" s="4" t="s">
        <v>20</v>
      </c>
      <c r="F682" s="4">
        <v>43</v>
      </c>
      <c r="G682" s="4" t="str" cm="1">
        <f t="array" ref="G682">_xlfn.IFS(F682&lt;30,"Young Adult",F682&lt;50,"Adult",F682&gt;=50,"Senior")</f>
        <v>Adult</v>
      </c>
      <c r="H682" s="4" t="s">
        <v>24</v>
      </c>
      <c r="I682" s="4">
        <v>2</v>
      </c>
      <c r="J682" s="11">
        <v>30</v>
      </c>
      <c r="K682" s="13">
        <f>I682*J682</f>
        <v>60</v>
      </c>
      <c r="L682" s="19">
        <f t="shared" si="31"/>
        <v>0.89999999999999991</v>
      </c>
      <c r="M682" s="19">
        <f t="shared" si="32"/>
        <v>1.2</v>
      </c>
      <c r="N682" s="13" cm="1">
        <f t="array" ref="N682">_xlfn.IFS(C682=2023,K682*$P$2,C682=2024,K682*$P$3)</f>
        <v>0.89999999999999991</v>
      </c>
    </row>
    <row r="683" spans="1:14">
      <c r="A683" s="2">
        <v>682</v>
      </c>
      <c r="B683" s="3">
        <v>45171</v>
      </c>
      <c r="C683" s="4">
        <f t="shared" si="30"/>
        <v>2023</v>
      </c>
      <c r="D683" s="4" t="s">
        <v>729</v>
      </c>
      <c r="E683" s="4" t="s">
        <v>16</v>
      </c>
      <c r="F683" s="4">
        <v>46</v>
      </c>
      <c r="G683" s="4" t="str" cm="1">
        <f t="array" ref="G683">_xlfn.IFS(F683&lt;30,"Young Adult",F683&lt;50,"Adult",F683&gt;=50,"Senior")</f>
        <v>Adult</v>
      </c>
      <c r="H683" s="4" t="s">
        <v>17</v>
      </c>
      <c r="I683" s="4">
        <v>4</v>
      </c>
      <c r="J683" s="11">
        <v>300</v>
      </c>
      <c r="K683" s="13">
        <f>I683*J683</f>
        <v>1200</v>
      </c>
      <c r="L683" s="19">
        <f t="shared" si="31"/>
        <v>18</v>
      </c>
      <c r="M683" s="19">
        <f t="shared" si="32"/>
        <v>24</v>
      </c>
      <c r="N683" s="13" cm="1">
        <f t="array" ref="N683">_xlfn.IFS(C683=2023,K683*$P$2,C683=2024,K683*$P$3)</f>
        <v>18</v>
      </c>
    </row>
    <row r="684" spans="1:14">
      <c r="A684" s="2">
        <v>683</v>
      </c>
      <c r="B684" s="3">
        <v>44930</v>
      </c>
      <c r="C684" s="4">
        <f t="shared" si="30"/>
        <v>2023</v>
      </c>
      <c r="D684" s="4" t="s">
        <v>730</v>
      </c>
      <c r="E684" s="4" t="s">
        <v>16</v>
      </c>
      <c r="F684" s="4">
        <v>38</v>
      </c>
      <c r="G684" s="4" t="str" cm="1">
        <f t="array" ref="G684">_xlfn.IFS(F684&lt;30,"Young Adult",F684&lt;50,"Adult",F684&gt;=50,"Senior")</f>
        <v>Adult</v>
      </c>
      <c r="H684" s="4" t="s">
        <v>17</v>
      </c>
      <c r="I684" s="4">
        <v>2</v>
      </c>
      <c r="J684" s="11">
        <v>500</v>
      </c>
      <c r="K684" s="13">
        <f>I684*J684</f>
        <v>1000</v>
      </c>
      <c r="L684" s="19">
        <f t="shared" si="31"/>
        <v>15</v>
      </c>
      <c r="M684" s="19">
        <f t="shared" si="32"/>
        <v>20</v>
      </c>
      <c r="N684" s="13" cm="1">
        <f t="array" ref="N684">_xlfn.IFS(C684=2023,K684*$P$2,C684=2024,K684*$P$3)</f>
        <v>15</v>
      </c>
    </row>
    <row r="685" spans="1:14">
      <c r="A685" s="2">
        <v>684</v>
      </c>
      <c r="B685" s="3">
        <v>45107</v>
      </c>
      <c r="C685" s="4">
        <f t="shared" si="30"/>
        <v>2023</v>
      </c>
      <c r="D685" s="4" t="s">
        <v>731</v>
      </c>
      <c r="E685" s="4" t="s">
        <v>20</v>
      </c>
      <c r="F685" s="4">
        <v>28</v>
      </c>
      <c r="G685" s="4" t="str" cm="1">
        <f t="array" ref="G685">_xlfn.IFS(F685&lt;30,"Young Adult",F685&lt;50,"Adult",F685&gt;=50,"Senior")</f>
        <v>Young Adult</v>
      </c>
      <c r="H685" s="4" t="s">
        <v>21</v>
      </c>
      <c r="I685" s="4">
        <v>2</v>
      </c>
      <c r="J685" s="11">
        <v>500</v>
      </c>
      <c r="K685" s="13">
        <f>I685*J685</f>
        <v>1000</v>
      </c>
      <c r="L685" s="19">
        <f t="shared" si="31"/>
        <v>15</v>
      </c>
      <c r="M685" s="19">
        <f t="shared" si="32"/>
        <v>20</v>
      </c>
      <c r="N685" s="13" cm="1">
        <f t="array" ref="N685">_xlfn.IFS(C685=2023,K685*$P$2,C685=2024,K685*$P$3)</f>
        <v>15</v>
      </c>
    </row>
    <row r="686" spans="1:14">
      <c r="A686" s="2">
        <v>685</v>
      </c>
      <c r="B686" s="3">
        <v>45079</v>
      </c>
      <c r="C686" s="4">
        <f t="shared" si="30"/>
        <v>2023</v>
      </c>
      <c r="D686" s="4" t="s">
        <v>732</v>
      </c>
      <c r="E686" s="4" t="s">
        <v>16</v>
      </c>
      <c r="F686" s="4">
        <v>57</v>
      </c>
      <c r="G686" s="4" t="str" cm="1">
        <f t="array" ref="G686">_xlfn.IFS(F686&lt;30,"Young Adult",F686&lt;50,"Adult",F686&gt;=50,"Senior")</f>
        <v>Senior</v>
      </c>
      <c r="H686" s="4" t="s">
        <v>24</v>
      </c>
      <c r="I686" s="4">
        <v>2</v>
      </c>
      <c r="J686" s="11">
        <v>25</v>
      </c>
      <c r="K686" s="13">
        <f>I686*J686</f>
        <v>50</v>
      </c>
      <c r="L686" s="19">
        <f t="shared" si="31"/>
        <v>0.75</v>
      </c>
      <c r="M686" s="19">
        <f t="shared" si="32"/>
        <v>1</v>
      </c>
      <c r="N686" s="13" cm="1">
        <f t="array" ref="N686">_xlfn.IFS(C686=2023,K686*$P$2,C686=2024,K686*$P$3)</f>
        <v>0.75</v>
      </c>
    </row>
    <row r="687" spans="1:14">
      <c r="A687" s="2">
        <v>686</v>
      </c>
      <c r="B687" s="3">
        <v>45126</v>
      </c>
      <c r="C687" s="4">
        <f t="shared" si="30"/>
        <v>2023</v>
      </c>
      <c r="D687" s="4" t="s">
        <v>733</v>
      </c>
      <c r="E687" s="4" t="s">
        <v>20</v>
      </c>
      <c r="F687" s="4">
        <v>28</v>
      </c>
      <c r="G687" s="4" t="str" cm="1">
        <f t="array" ref="G687">_xlfn.IFS(F687&lt;30,"Young Adult",F687&lt;50,"Adult",F687&gt;=50,"Senior")</f>
        <v>Young Adult</v>
      </c>
      <c r="H687" s="4" t="s">
        <v>24</v>
      </c>
      <c r="I687" s="4">
        <v>4</v>
      </c>
      <c r="J687" s="11">
        <v>50</v>
      </c>
      <c r="K687" s="13">
        <f>I687*J687</f>
        <v>200</v>
      </c>
      <c r="L687" s="19">
        <f t="shared" si="31"/>
        <v>3</v>
      </c>
      <c r="M687" s="19">
        <f t="shared" si="32"/>
        <v>4</v>
      </c>
      <c r="N687" s="13" cm="1">
        <f t="array" ref="N687">_xlfn.IFS(C687=2023,K687*$P$2,C687=2024,K687*$P$3)</f>
        <v>3</v>
      </c>
    </row>
    <row r="688" spans="1:14">
      <c r="A688" s="2">
        <v>687</v>
      </c>
      <c r="B688" s="3">
        <v>45141</v>
      </c>
      <c r="C688" s="4">
        <f t="shared" si="30"/>
        <v>2023</v>
      </c>
      <c r="D688" s="4" t="s">
        <v>734</v>
      </c>
      <c r="E688" s="4" t="s">
        <v>20</v>
      </c>
      <c r="F688" s="4">
        <v>53</v>
      </c>
      <c r="G688" s="4" t="str" cm="1">
        <f t="array" ref="G688">_xlfn.IFS(F688&lt;30,"Young Adult",F688&lt;50,"Adult",F688&gt;=50,"Senior")</f>
        <v>Senior</v>
      </c>
      <c r="H688" s="4" t="s">
        <v>24</v>
      </c>
      <c r="I688" s="4">
        <v>1</v>
      </c>
      <c r="J688" s="11">
        <v>300</v>
      </c>
      <c r="K688" s="13">
        <f>I688*J688</f>
        <v>300</v>
      </c>
      <c r="L688" s="19">
        <f t="shared" si="31"/>
        <v>4.5</v>
      </c>
      <c r="M688" s="19">
        <f t="shared" si="32"/>
        <v>6</v>
      </c>
      <c r="N688" s="13" cm="1">
        <f t="array" ref="N688">_xlfn.IFS(C688=2023,K688*$P$2,C688=2024,K688*$P$3)</f>
        <v>4.5</v>
      </c>
    </row>
    <row r="689" spans="1:14">
      <c r="A689" s="2">
        <v>688</v>
      </c>
      <c r="B689" s="3">
        <v>45202</v>
      </c>
      <c r="C689" s="4">
        <f t="shared" si="30"/>
        <v>2023</v>
      </c>
      <c r="D689" s="4" t="s">
        <v>735</v>
      </c>
      <c r="E689" s="4" t="s">
        <v>16</v>
      </c>
      <c r="F689" s="4">
        <v>56</v>
      </c>
      <c r="G689" s="4" t="str" cm="1">
        <f t="array" ref="G689">_xlfn.IFS(F689&lt;30,"Young Adult",F689&lt;50,"Adult",F689&gt;=50,"Senior")</f>
        <v>Senior</v>
      </c>
      <c r="H689" s="4" t="s">
        <v>21</v>
      </c>
      <c r="I689" s="4">
        <v>4</v>
      </c>
      <c r="J689" s="11">
        <v>25</v>
      </c>
      <c r="K689" s="13">
        <f>I689*J689</f>
        <v>100</v>
      </c>
      <c r="L689" s="19">
        <f t="shared" si="31"/>
        <v>1.5</v>
      </c>
      <c r="M689" s="19">
        <f t="shared" si="32"/>
        <v>2</v>
      </c>
      <c r="N689" s="13" cm="1">
        <f t="array" ref="N689">_xlfn.IFS(C689=2023,K689*$P$2,C689=2024,K689*$P$3)</f>
        <v>1.5</v>
      </c>
    </row>
    <row r="690" spans="1:14">
      <c r="A690" s="2">
        <v>689</v>
      </c>
      <c r="B690" s="3">
        <v>45206</v>
      </c>
      <c r="C690" s="4">
        <f t="shared" si="30"/>
        <v>2023</v>
      </c>
      <c r="D690" s="4" t="s">
        <v>736</v>
      </c>
      <c r="E690" s="4" t="s">
        <v>16</v>
      </c>
      <c r="F690" s="4">
        <v>57</v>
      </c>
      <c r="G690" s="4" t="str" cm="1">
        <f t="array" ref="G690">_xlfn.IFS(F690&lt;30,"Young Adult",F690&lt;50,"Adult",F690&gt;=50,"Senior")</f>
        <v>Senior</v>
      </c>
      <c r="H690" s="4" t="s">
        <v>24</v>
      </c>
      <c r="I690" s="4">
        <v>2</v>
      </c>
      <c r="J690" s="11">
        <v>50</v>
      </c>
      <c r="K690" s="13">
        <f>I690*J690</f>
        <v>100</v>
      </c>
      <c r="L690" s="19">
        <f t="shared" si="31"/>
        <v>1.5</v>
      </c>
      <c r="M690" s="19">
        <f t="shared" si="32"/>
        <v>2</v>
      </c>
      <c r="N690" s="13" cm="1">
        <f t="array" ref="N690">_xlfn.IFS(C690=2023,K690*$P$2,C690=2024,K690*$P$3)</f>
        <v>1.5</v>
      </c>
    </row>
    <row r="691" spans="1:14">
      <c r="A691" s="2">
        <v>690</v>
      </c>
      <c r="B691" s="3">
        <v>45235</v>
      </c>
      <c r="C691" s="4">
        <f t="shared" si="30"/>
        <v>2023</v>
      </c>
      <c r="D691" s="4" t="s">
        <v>737</v>
      </c>
      <c r="E691" s="4" t="s">
        <v>20</v>
      </c>
      <c r="F691" s="4">
        <v>52</v>
      </c>
      <c r="G691" s="4" t="str" cm="1">
        <f t="array" ref="G691">_xlfn.IFS(F691&lt;30,"Young Adult",F691&lt;50,"Adult",F691&gt;=50,"Senior")</f>
        <v>Senior</v>
      </c>
      <c r="H691" s="4" t="s">
        <v>21</v>
      </c>
      <c r="I691" s="4">
        <v>3</v>
      </c>
      <c r="J691" s="11">
        <v>300</v>
      </c>
      <c r="K691" s="13">
        <f>I691*J691</f>
        <v>900</v>
      </c>
      <c r="L691" s="19">
        <f t="shared" si="31"/>
        <v>13.5</v>
      </c>
      <c r="M691" s="19">
        <f t="shared" si="32"/>
        <v>18</v>
      </c>
      <c r="N691" s="13" cm="1">
        <f t="array" ref="N691">_xlfn.IFS(C691=2023,K691*$P$2,C691=2024,K691*$P$3)</f>
        <v>13.5</v>
      </c>
    </row>
    <row r="692" spans="1:14">
      <c r="A692" s="2">
        <v>691</v>
      </c>
      <c r="B692" s="3">
        <v>45039</v>
      </c>
      <c r="C692" s="4">
        <f t="shared" si="30"/>
        <v>2023</v>
      </c>
      <c r="D692" s="4" t="s">
        <v>738</v>
      </c>
      <c r="E692" s="4" t="s">
        <v>20</v>
      </c>
      <c r="F692" s="4">
        <v>51</v>
      </c>
      <c r="G692" s="4" t="str" cm="1">
        <f t="array" ref="G692">_xlfn.IFS(F692&lt;30,"Young Adult",F692&lt;50,"Adult",F692&gt;=50,"Senior")</f>
        <v>Senior</v>
      </c>
      <c r="H692" s="4" t="s">
        <v>21</v>
      </c>
      <c r="I692" s="4">
        <v>3</v>
      </c>
      <c r="J692" s="11">
        <v>30</v>
      </c>
      <c r="K692" s="13">
        <f>I692*J692</f>
        <v>90</v>
      </c>
      <c r="L692" s="19">
        <f t="shared" si="31"/>
        <v>1.3499999999999999</v>
      </c>
      <c r="M692" s="19">
        <f t="shared" si="32"/>
        <v>1.8</v>
      </c>
      <c r="N692" s="13" cm="1">
        <f t="array" ref="N692">_xlfn.IFS(C692=2023,K692*$P$2,C692=2024,K692*$P$3)</f>
        <v>1.3499999999999999</v>
      </c>
    </row>
    <row r="693" spans="1:14">
      <c r="A693" s="2">
        <v>692</v>
      </c>
      <c r="B693" s="3">
        <v>45176</v>
      </c>
      <c r="C693" s="4">
        <f t="shared" si="30"/>
        <v>2023</v>
      </c>
      <c r="D693" s="4" t="s">
        <v>739</v>
      </c>
      <c r="E693" s="4" t="s">
        <v>20</v>
      </c>
      <c r="F693" s="4">
        <v>64</v>
      </c>
      <c r="G693" s="4" t="str" cm="1">
        <f t="array" ref="G693">_xlfn.IFS(F693&lt;30,"Young Adult",F693&lt;50,"Adult",F693&gt;=50,"Senior")</f>
        <v>Senior</v>
      </c>
      <c r="H693" s="4" t="s">
        <v>21</v>
      </c>
      <c r="I693" s="4">
        <v>2</v>
      </c>
      <c r="J693" s="11">
        <v>50</v>
      </c>
      <c r="K693" s="13">
        <f>I693*J693</f>
        <v>100</v>
      </c>
      <c r="L693" s="19">
        <f t="shared" si="31"/>
        <v>1.5</v>
      </c>
      <c r="M693" s="19">
        <f t="shared" si="32"/>
        <v>2</v>
      </c>
      <c r="N693" s="13" cm="1">
        <f t="array" ref="N693">_xlfn.IFS(C693=2023,K693*$P$2,C693=2024,K693*$P$3)</f>
        <v>1.5</v>
      </c>
    </row>
    <row r="694" spans="1:14">
      <c r="A694" s="2">
        <v>693</v>
      </c>
      <c r="B694" s="3">
        <v>45039</v>
      </c>
      <c r="C694" s="4">
        <f t="shared" si="30"/>
        <v>2023</v>
      </c>
      <c r="D694" s="4" t="s">
        <v>740</v>
      </c>
      <c r="E694" s="4" t="s">
        <v>16</v>
      </c>
      <c r="F694" s="4">
        <v>41</v>
      </c>
      <c r="G694" s="4" t="str" cm="1">
        <f t="array" ref="G694">_xlfn.IFS(F694&lt;30,"Young Adult",F694&lt;50,"Adult",F694&gt;=50,"Senior")</f>
        <v>Adult</v>
      </c>
      <c r="H694" s="4" t="s">
        <v>17</v>
      </c>
      <c r="I694" s="4">
        <v>3</v>
      </c>
      <c r="J694" s="11">
        <v>500</v>
      </c>
      <c r="K694" s="13">
        <f>I694*J694</f>
        <v>1500</v>
      </c>
      <c r="L694" s="19">
        <f t="shared" si="31"/>
        <v>22.5</v>
      </c>
      <c r="M694" s="19">
        <f t="shared" si="32"/>
        <v>30</v>
      </c>
      <c r="N694" s="13" cm="1">
        <f t="array" ref="N694">_xlfn.IFS(C694=2023,K694*$P$2,C694=2024,K694*$P$3)</f>
        <v>22.5</v>
      </c>
    </row>
    <row r="695" spans="1:14">
      <c r="A695" s="2">
        <v>694</v>
      </c>
      <c r="B695" s="3">
        <v>45066</v>
      </c>
      <c r="C695" s="4">
        <f t="shared" si="30"/>
        <v>2023</v>
      </c>
      <c r="D695" s="4" t="s">
        <v>741</v>
      </c>
      <c r="E695" s="4" t="s">
        <v>20</v>
      </c>
      <c r="F695" s="4">
        <v>39</v>
      </c>
      <c r="G695" s="4" t="str" cm="1">
        <f t="array" ref="G695">_xlfn.IFS(F695&lt;30,"Young Adult",F695&lt;50,"Adult",F695&gt;=50,"Senior")</f>
        <v>Adult</v>
      </c>
      <c r="H695" s="4" t="s">
        <v>24</v>
      </c>
      <c r="I695" s="4">
        <v>2</v>
      </c>
      <c r="J695" s="11">
        <v>25</v>
      </c>
      <c r="K695" s="13">
        <f>I695*J695</f>
        <v>50</v>
      </c>
      <c r="L695" s="19">
        <f t="shared" si="31"/>
        <v>0.75</v>
      </c>
      <c r="M695" s="19">
        <f t="shared" si="32"/>
        <v>1</v>
      </c>
      <c r="N695" s="13" cm="1">
        <f t="array" ref="N695">_xlfn.IFS(C695=2023,K695*$P$2,C695=2024,K695*$P$3)</f>
        <v>0.75</v>
      </c>
    </row>
    <row r="696" spans="1:14">
      <c r="A696" s="2">
        <v>695</v>
      </c>
      <c r="B696" s="3">
        <v>45150</v>
      </c>
      <c r="C696" s="4">
        <f t="shared" si="30"/>
        <v>2023</v>
      </c>
      <c r="D696" s="4" t="s">
        <v>742</v>
      </c>
      <c r="E696" s="4" t="s">
        <v>20</v>
      </c>
      <c r="F696" s="4">
        <v>22</v>
      </c>
      <c r="G696" s="4" t="str" cm="1">
        <f t="array" ref="G696">_xlfn.IFS(F696&lt;30,"Young Adult",F696&lt;50,"Adult",F696&gt;=50,"Senior")</f>
        <v>Young Adult</v>
      </c>
      <c r="H696" s="4" t="s">
        <v>24</v>
      </c>
      <c r="I696" s="4">
        <v>3</v>
      </c>
      <c r="J696" s="11">
        <v>50</v>
      </c>
      <c r="K696" s="13">
        <f>I696*J696</f>
        <v>150</v>
      </c>
      <c r="L696" s="19">
        <f t="shared" si="31"/>
        <v>2.25</v>
      </c>
      <c r="M696" s="19">
        <f t="shared" si="32"/>
        <v>3</v>
      </c>
      <c r="N696" s="13" cm="1">
        <f t="array" ref="N696">_xlfn.IFS(C696=2023,K696*$P$2,C696=2024,K696*$P$3)</f>
        <v>2.25</v>
      </c>
    </row>
    <row r="697" spans="1:14">
      <c r="A697" s="2">
        <v>696</v>
      </c>
      <c r="B697" s="3">
        <v>45175</v>
      </c>
      <c r="C697" s="4">
        <f t="shared" si="30"/>
        <v>2023</v>
      </c>
      <c r="D697" s="4" t="s">
        <v>743</v>
      </c>
      <c r="E697" s="4" t="s">
        <v>20</v>
      </c>
      <c r="F697" s="4">
        <v>50</v>
      </c>
      <c r="G697" s="4" t="str" cm="1">
        <f t="array" ref="G697">_xlfn.IFS(F697&lt;30,"Young Adult",F697&lt;50,"Adult",F697&gt;=50,"Senior")</f>
        <v>Senior</v>
      </c>
      <c r="H697" s="4" t="s">
        <v>21</v>
      </c>
      <c r="I697" s="4">
        <v>4</v>
      </c>
      <c r="J697" s="11">
        <v>50</v>
      </c>
      <c r="K697" s="13">
        <f>I697*J697</f>
        <v>200</v>
      </c>
      <c r="L697" s="19">
        <f t="shared" si="31"/>
        <v>3</v>
      </c>
      <c r="M697" s="19">
        <f t="shared" si="32"/>
        <v>4</v>
      </c>
      <c r="N697" s="13" cm="1">
        <f t="array" ref="N697">_xlfn.IFS(C697=2023,K697*$P$2,C697=2024,K697*$P$3)</f>
        <v>3</v>
      </c>
    </row>
    <row r="698" spans="1:14">
      <c r="A698" s="2">
        <v>697</v>
      </c>
      <c r="B698" s="3">
        <v>44941</v>
      </c>
      <c r="C698" s="4">
        <f t="shared" si="30"/>
        <v>2023</v>
      </c>
      <c r="D698" s="4" t="s">
        <v>744</v>
      </c>
      <c r="E698" s="4" t="s">
        <v>16</v>
      </c>
      <c r="F698" s="4">
        <v>53</v>
      </c>
      <c r="G698" s="4" t="str" cm="1">
        <f t="array" ref="G698">_xlfn.IFS(F698&lt;30,"Young Adult",F698&lt;50,"Adult",F698&gt;=50,"Senior")</f>
        <v>Senior</v>
      </c>
      <c r="H698" s="4" t="s">
        <v>21</v>
      </c>
      <c r="I698" s="4">
        <v>1</v>
      </c>
      <c r="J698" s="11">
        <v>500</v>
      </c>
      <c r="K698" s="13">
        <f>I698*J698</f>
        <v>500</v>
      </c>
      <c r="L698" s="19">
        <f t="shared" si="31"/>
        <v>7.5</v>
      </c>
      <c r="M698" s="19">
        <f t="shared" si="32"/>
        <v>10</v>
      </c>
      <c r="N698" s="13" cm="1">
        <f t="array" ref="N698">_xlfn.IFS(C698=2023,K698*$P$2,C698=2024,K698*$P$3)</f>
        <v>7.5</v>
      </c>
    </row>
    <row r="699" spans="1:14">
      <c r="A699" s="2">
        <v>698</v>
      </c>
      <c r="B699" s="3">
        <v>45126</v>
      </c>
      <c r="C699" s="4">
        <f t="shared" si="30"/>
        <v>2023</v>
      </c>
      <c r="D699" s="4" t="s">
        <v>745</v>
      </c>
      <c r="E699" s="4" t="s">
        <v>20</v>
      </c>
      <c r="F699" s="4">
        <v>64</v>
      </c>
      <c r="G699" s="4" t="str" cm="1">
        <f t="array" ref="G699">_xlfn.IFS(F699&lt;30,"Young Adult",F699&lt;50,"Adult",F699&gt;=50,"Senior")</f>
        <v>Senior</v>
      </c>
      <c r="H699" s="4" t="s">
        <v>24</v>
      </c>
      <c r="I699" s="4">
        <v>1</v>
      </c>
      <c r="J699" s="11">
        <v>300</v>
      </c>
      <c r="K699" s="13">
        <f>I699*J699</f>
        <v>300</v>
      </c>
      <c r="L699" s="19">
        <f t="shared" si="31"/>
        <v>4.5</v>
      </c>
      <c r="M699" s="19">
        <f t="shared" si="32"/>
        <v>6</v>
      </c>
      <c r="N699" s="13" cm="1">
        <f t="array" ref="N699">_xlfn.IFS(C699=2023,K699*$P$2,C699=2024,K699*$P$3)</f>
        <v>4.5</v>
      </c>
    </row>
    <row r="700" spans="1:14">
      <c r="A700" s="2">
        <v>699</v>
      </c>
      <c r="B700" s="3">
        <v>45099</v>
      </c>
      <c r="C700" s="4">
        <f t="shared" si="30"/>
        <v>2023</v>
      </c>
      <c r="D700" s="4" t="s">
        <v>746</v>
      </c>
      <c r="E700" s="4" t="s">
        <v>20</v>
      </c>
      <c r="F700" s="4">
        <v>37</v>
      </c>
      <c r="G700" s="4" t="str" cm="1">
        <f t="array" ref="G700">_xlfn.IFS(F700&lt;30,"Young Adult",F700&lt;50,"Adult",F700&gt;=50,"Senior")</f>
        <v>Adult</v>
      </c>
      <c r="H700" s="4" t="s">
        <v>21</v>
      </c>
      <c r="I700" s="4">
        <v>4</v>
      </c>
      <c r="J700" s="11">
        <v>30</v>
      </c>
      <c r="K700" s="13">
        <f>I700*J700</f>
        <v>120</v>
      </c>
      <c r="L700" s="19">
        <f t="shared" si="31"/>
        <v>1.7999999999999998</v>
      </c>
      <c r="M700" s="19">
        <f t="shared" si="32"/>
        <v>2.4</v>
      </c>
      <c r="N700" s="13" cm="1">
        <f t="array" ref="N700">_xlfn.IFS(C700=2023,K700*$P$2,C700=2024,K700*$P$3)</f>
        <v>1.7999999999999998</v>
      </c>
    </row>
    <row r="701" spans="1:14">
      <c r="A701" s="2">
        <v>700</v>
      </c>
      <c r="B701" s="3">
        <v>45269</v>
      </c>
      <c r="C701" s="4">
        <f t="shared" si="30"/>
        <v>2023</v>
      </c>
      <c r="D701" s="4" t="s">
        <v>747</v>
      </c>
      <c r="E701" s="4" t="s">
        <v>16</v>
      </c>
      <c r="F701" s="4">
        <v>36</v>
      </c>
      <c r="G701" s="4" t="str" cm="1">
        <f t="array" ref="G701">_xlfn.IFS(F701&lt;30,"Young Adult",F701&lt;50,"Adult",F701&gt;=50,"Senior")</f>
        <v>Adult</v>
      </c>
      <c r="H701" s="4" t="s">
        <v>24</v>
      </c>
      <c r="I701" s="4">
        <v>4</v>
      </c>
      <c r="J701" s="11">
        <v>500</v>
      </c>
      <c r="K701" s="13">
        <f>I701*J701</f>
        <v>2000</v>
      </c>
      <c r="L701" s="19">
        <f t="shared" si="31"/>
        <v>30</v>
      </c>
      <c r="M701" s="19">
        <f t="shared" si="32"/>
        <v>40</v>
      </c>
      <c r="N701" s="13" cm="1">
        <f t="array" ref="N701">_xlfn.IFS(C701=2023,K701*$P$2,C701=2024,K701*$P$3)</f>
        <v>30</v>
      </c>
    </row>
    <row r="702" spans="1:14">
      <c r="A702" s="2">
        <v>701</v>
      </c>
      <c r="B702" s="3">
        <v>45274</v>
      </c>
      <c r="C702" s="4">
        <f t="shared" si="30"/>
        <v>2023</v>
      </c>
      <c r="D702" s="4" t="s">
        <v>748</v>
      </c>
      <c r="E702" s="4" t="s">
        <v>20</v>
      </c>
      <c r="F702" s="4">
        <v>52</v>
      </c>
      <c r="G702" s="4" t="str" cm="1">
        <f t="array" ref="G702">_xlfn.IFS(F702&lt;30,"Young Adult",F702&lt;50,"Adult",F702&gt;=50,"Senior")</f>
        <v>Senior</v>
      </c>
      <c r="H702" s="4" t="s">
        <v>17</v>
      </c>
      <c r="I702" s="4">
        <v>2</v>
      </c>
      <c r="J702" s="11">
        <v>30</v>
      </c>
      <c r="K702" s="13">
        <f>I702*J702</f>
        <v>60</v>
      </c>
      <c r="L702" s="19">
        <f t="shared" si="31"/>
        <v>0.89999999999999991</v>
      </c>
      <c r="M702" s="19">
        <f t="shared" si="32"/>
        <v>1.2</v>
      </c>
      <c r="N702" s="13" cm="1">
        <f t="array" ref="N702">_xlfn.IFS(C702=2023,K702*$P$2,C702=2024,K702*$P$3)</f>
        <v>0.89999999999999991</v>
      </c>
    </row>
    <row r="703" spans="1:14">
      <c r="A703" s="2">
        <v>702</v>
      </c>
      <c r="B703" s="3">
        <v>45134</v>
      </c>
      <c r="C703" s="4">
        <f t="shared" si="30"/>
        <v>2023</v>
      </c>
      <c r="D703" s="4" t="s">
        <v>749</v>
      </c>
      <c r="E703" s="4" t="s">
        <v>20</v>
      </c>
      <c r="F703" s="4">
        <v>60</v>
      </c>
      <c r="G703" s="4" t="str" cm="1">
        <f t="array" ref="G703">_xlfn.IFS(F703&lt;30,"Young Adult",F703&lt;50,"Adult",F703&gt;=50,"Senior")</f>
        <v>Senior</v>
      </c>
      <c r="H703" s="4" t="s">
        <v>21</v>
      </c>
      <c r="I703" s="4">
        <v>2</v>
      </c>
      <c r="J703" s="11">
        <v>300</v>
      </c>
      <c r="K703" s="13">
        <f>I703*J703</f>
        <v>600</v>
      </c>
      <c r="L703" s="19">
        <f t="shared" si="31"/>
        <v>9</v>
      </c>
      <c r="M703" s="19">
        <f t="shared" si="32"/>
        <v>12</v>
      </c>
      <c r="N703" s="13" cm="1">
        <f t="array" ref="N703">_xlfn.IFS(C703=2023,K703*$P$2,C703=2024,K703*$P$3)</f>
        <v>9</v>
      </c>
    </row>
    <row r="704" spans="1:14">
      <c r="A704" s="2">
        <v>703</v>
      </c>
      <c r="B704" s="3">
        <v>45011</v>
      </c>
      <c r="C704" s="4">
        <f t="shared" si="30"/>
        <v>2023</v>
      </c>
      <c r="D704" s="4" t="s">
        <v>750</v>
      </c>
      <c r="E704" s="4" t="s">
        <v>16</v>
      </c>
      <c r="F704" s="4">
        <v>34</v>
      </c>
      <c r="G704" s="4" t="str" cm="1">
        <f t="array" ref="G704">_xlfn.IFS(F704&lt;30,"Young Adult",F704&lt;50,"Adult",F704&gt;=50,"Senior")</f>
        <v>Adult</v>
      </c>
      <c r="H704" s="4" t="s">
        <v>24</v>
      </c>
      <c r="I704" s="4">
        <v>2</v>
      </c>
      <c r="J704" s="11">
        <v>50</v>
      </c>
      <c r="K704" s="13">
        <f>I704*J704</f>
        <v>100</v>
      </c>
      <c r="L704" s="19">
        <f t="shared" si="31"/>
        <v>1.5</v>
      </c>
      <c r="M704" s="19">
        <f t="shared" si="32"/>
        <v>2</v>
      </c>
      <c r="N704" s="13" cm="1">
        <f t="array" ref="N704">_xlfn.IFS(C704=2023,K704*$P$2,C704=2024,K704*$P$3)</f>
        <v>1.5</v>
      </c>
    </row>
    <row r="705" spans="1:14">
      <c r="A705" s="2">
        <v>704</v>
      </c>
      <c r="B705" s="3">
        <v>45166</v>
      </c>
      <c r="C705" s="4">
        <f t="shared" si="30"/>
        <v>2023</v>
      </c>
      <c r="D705" s="4" t="s">
        <v>751</v>
      </c>
      <c r="E705" s="4" t="s">
        <v>20</v>
      </c>
      <c r="F705" s="4">
        <v>62</v>
      </c>
      <c r="G705" s="4" t="str" cm="1">
        <f t="array" ref="G705">_xlfn.IFS(F705&lt;30,"Young Adult",F705&lt;50,"Adult",F705&gt;=50,"Senior")</f>
        <v>Senior</v>
      </c>
      <c r="H705" s="4" t="s">
        <v>21</v>
      </c>
      <c r="I705" s="4">
        <v>3</v>
      </c>
      <c r="J705" s="11">
        <v>30</v>
      </c>
      <c r="K705" s="13">
        <f>I705*J705</f>
        <v>90</v>
      </c>
      <c r="L705" s="19">
        <f t="shared" si="31"/>
        <v>1.3499999999999999</v>
      </c>
      <c r="M705" s="19">
        <f t="shared" si="32"/>
        <v>1.8</v>
      </c>
      <c r="N705" s="13" cm="1">
        <f t="array" ref="N705">_xlfn.IFS(C705=2023,K705*$P$2,C705=2024,K705*$P$3)</f>
        <v>1.3499999999999999</v>
      </c>
    </row>
    <row r="706" spans="1:14">
      <c r="A706" s="2">
        <v>705</v>
      </c>
      <c r="B706" s="3">
        <v>44992</v>
      </c>
      <c r="C706" s="4">
        <f t="shared" si="30"/>
        <v>2023</v>
      </c>
      <c r="D706" s="4" t="s">
        <v>752</v>
      </c>
      <c r="E706" s="4" t="s">
        <v>16</v>
      </c>
      <c r="F706" s="4">
        <v>60</v>
      </c>
      <c r="G706" s="4" t="str" cm="1">
        <f t="array" ref="G706">_xlfn.IFS(F706&lt;30,"Young Adult",F706&lt;50,"Adult",F706&gt;=50,"Senior")</f>
        <v>Senior</v>
      </c>
      <c r="H706" s="4" t="s">
        <v>24</v>
      </c>
      <c r="I706" s="4">
        <v>2</v>
      </c>
      <c r="J706" s="11">
        <v>25</v>
      </c>
      <c r="K706" s="13">
        <f>I706*J706</f>
        <v>50</v>
      </c>
      <c r="L706" s="19">
        <f t="shared" si="31"/>
        <v>0.75</v>
      </c>
      <c r="M706" s="19">
        <f t="shared" si="32"/>
        <v>1</v>
      </c>
      <c r="N706" s="13" cm="1">
        <f t="array" ref="N706">_xlfn.IFS(C706=2023,K706*$P$2,C706=2024,K706*$P$3)</f>
        <v>0.75</v>
      </c>
    </row>
    <row r="707" spans="1:14">
      <c r="A707" s="2">
        <v>706</v>
      </c>
      <c r="B707" s="3">
        <v>45245</v>
      </c>
      <c r="C707" s="4">
        <f t="shared" ref="C707:C770" si="33">YEAR(B707)</f>
        <v>2023</v>
      </c>
      <c r="D707" s="4" t="s">
        <v>753</v>
      </c>
      <c r="E707" s="4" t="s">
        <v>16</v>
      </c>
      <c r="F707" s="4">
        <v>51</v>
      </c>
      <c r="G707" s="4" t="str" cm="1">
        <f t="array" ref="G707">_xlfn.IFS(F707&lt;30,"Young Adult",F707&lt;50,"Adult",F707&gt;=50,"Senior")</f>
        <v>Senior</v>
      </c>
      <c r="H707" s="4" t="s">
        <v>24</v>
      </c>
      <c r="I707" s="4">
        <v>4</v>
      </c>
      <c r="J707" s="11">
        <v>25</v>
      </c>
      <c r="K707" s="13">
        <f>I707*J707</f>
        <v>100</v>
      </c>
      <c r="L707" s="19">
        <f t="shared" ref="L707:L770" si="34">K707*$P$2</f>
        <v>1.5</v>
      </c>
      <c r="M707" s="19">
        <f t="shared" ref="M707:M770" si="35">K707*$P$3</f>
        <v>2</v>
      </c>
      <c r="N707" s="13" cm="1">
        <f t="array" ref="N707">_xlfn.IFS(C707=2023,K707*$P$2,C707=2024,K707*$P$3)</f>
        <v>1.5</v>
      </c>
    </row>
    <row r="708" spans="1:14">
      <c r="A708" s="2">
        <v>707</v>
      </c>
      <c r="B708" s="3">
        <v>45200</v>
      </c>
      <c r="C708" s="4">
        <f t="shared" si="33"/>
        <v>2023</v>
      </c>
      <c r="D708" s="4" t="s">
        <v>754</v>
      </c>
      <c r="E708" s="4" t="s">
        <v>20</v>
      </c>
      <c r="F708" s="4">
        <v>26</v>
      </c>
      <c r="G708" s="4" t="str" cm="1">
        <f t="array" ref="G708">_xlfn.IFS(F708&lt;30,"Young Adult",F708&lt;50,"Adult",F708&gt;=50,"Senior")</f>
        <v>Young Adult</v>
      </c>
      <c r="H708" s="4" t="s">
        <v>21</v>
      </c>
      <c r="I708" s="4">
        <v>1</v>
      </c>
      <c r="J708" s="11">
        <v>500</v>
      </c>
      <c r="K708" s="13">
        <f>I708*J708</f>
        <v>500</v>
      </c>
      <c r="L708" s="19">
        <f t="shared" si="34"/>
        <v>7.5</v>
      </c>
      <c r="M708" s="19">
        <f t="shared" si="35"/>
        <v>10</v>
      </c>
      <c r="N708" s="13" cm="1">
        <f t="array" ref="N708">_xlfn.IFS(C708=2023,K708*$P$2,C708=2024,K708*$P$3)</f>
        <v>7.5</v>
      </c>
    </row>
    <row r="709" spans="1:14">
      <c r="A709" s="2">
        <v>708</v>
      </c>
      <c r="B709" s="3">
        <v>44940</v>
      </c>
      <c r="C709" s="4">
        <f t="shared" si="33"/>
        <v>2023</v>
      </c>
      <c r="D709" s="4" t="s">
        <v>755</v>
      </c>
      <c r="E709" s="4" t="s">
        <v>20</v>
      </c>
      <c r="F709" s="4">
        <v>43</v>
      </c>
      <c r="G709" s="4" t="str" cm="1">
        <f t="array" ref="G709">_xlfn.IFS(F709&lt;30,"Young Adult",F709&lt;50,"Adult",F709&gt;=50,"Senior")</f>
        <v>Adult</v>
      </c>
      <c r="H709" s="4" t="s">
        <v>17</v>
      </c>
      <c r="I709" s="4">
        <v>3</v>
      </c>
      <c r="J709" s="11">
        <v>300</v>
      </c>
      <c r="K709" s="13">
        <f>I709*J709</f>
        <v>900</v>
      </c>
      <c r="L709" s="19">
        <f t="shared" si="34"/>
        <v>13.5</v>
      </c>
      <c r="M709" s="19">
        <f t="shared" si="35"/>
        <v>18</v>
      </c>
      <c r="N709" s="13" cm="1">
        <f t="array" ref="N709">_xlfn.IFS(C709=2023,K709*$P$2,C709=2024,K709*$P$3)</f>
        <v>13.5</v>
      </c>
    </row>
    <row r="710" spans="1:14">
      <c r="A710" s="2">
        <v>709</v>
      </c>
      <c r="B710" s="3">
        <v>45128</v>
      </c>
      <c r="C710" s="4">
        <f t="shared" si="33"/>
        <v>2023</v>
      </c>
      <c r="D710" s="4" t="s">
        <v>756</v>
      </c>
      <c r="E710" s="4" t="s">
        <v>20</v>
      </c>
      <c r="F710" s="4">
        <v>19</v>
      </c>
      <c r="G710" s="4" t="str" cm="1">
        <f t="array" ref="G710">_xlfn.IFS(F710&lt;30,"Young Adult",F710&lt;50,"Adult",F710&gt;=50,"Senior")</f>
        <v>Young Adult</v>
      </c>
      <c r="H710" s="4" t="s">
        <v>24</v>
      </c>
      <c r="I710" s="4">
        <v>2</v>
      </c>
      <c r="J710" s="11">
        <v>500</v>
      </c>
      <c r="K710" s="13">
        <f>I710*J710</f>
        <v>1000</v>
      </c>
      <c r="L710" s="19">
        <f t="shared" si="34"/>
        <v>15</v>
      </c>
      <c r="M710" s="19">
        <f t="shared" si="35"/>
        <v>20</v>
      </c>
      <c r="N710" s="13" cm="1">
        <f t="array" ref="N710">_xlfn.IFS(C710=2023,K710*$P$2,C710=2024,K710*$P$3)</f>
        <v>15</v>
      </c>
    </row>
    <row r="711" spans="1:14">
      <c r="A711" s="2">
        <v>710</v>
      </c>
      <c r="B711" s="3">
        <v>45230</v>
      </c>
      <c r="C711" s="4">
        <f t="shared" si="33"/>
        <v>2023</v>
      </c>
      <c r="D711" s="4" t="s">
        <v>757</v>
      </c>
      <c r="E711" s="4" t="s">
        <v>20</v>
      </c>
      <c r="F711" s="4">
        <v>26</v>
      </c>
      <c r="G711" s="4" t="str" cm="1">
        <f t="array" ref="G711">_xlfn.IFS(F711&lt;30,"Young Adult",F711&lt;50,"Adult",F711&gt;=50,"Senior")</f>
        <v>Young Adult</v>
      </c>
      <c r="H711" s="4" t="s">
        <v>24</v>
      </c>
      <c r="I711" s="4">
        <v>3</v>
      </c>
      <c r="J711" s="11">
        <v>500</v>
      </c>
      <c r="K711" s="13">
        <f>I711*J711</f>
        <v>1500</v>
      </c>
      <c r="L711" s="19">
        <f t="shared" si="34"/>
        <v>22.5</v>
      </c>
      <c r="M711" s="19">
        <f t="shared" si="35"/>
        <v>30</v>
      </c>
      <c r="N711" s="13" cm="1">
        <f t="array" ref="N711">_xlfn.IFS(C711=2023,K711*$P$2,C711=2024,K711*$P$3)</f>
        <v>22.5</v>
      </c>
    </row>
    <row r="712" spans="1:14">
      <c r="A712" s="2">
        <v>711</v>
      </c>
      <c r="B712" s="3">
        <v>45215</v>
      </c>
      <c r="C712" s="4">
        <f t="shared" si="33"/>
        <v>2023</v>
      </c>
      <c r="D712" s="4" t="s">
        <v>758</v>
      </c>
      <c r="E712" s="4" t="s">
        <v>16</v>
      </c>
      <c r="F712" s="4">
        <v>26</v>
      </c>
      <c r="G712" s="4" t="str" cm="1">
        <f t="array" ref="G712">_xlfn.IFS(F712&lt;30,"Young Adult",F712&lt;50,"Adult",F712&gt;=50,"Senior")</f>
        <v>Young Adult</v>
      </c>
      <c r="H712" s="4" t="s">
        <v>24</v>
      </c>
      <c r="I712" s="4">
        <v>3</v>
      </c>
      <c r="J712" s="11">
        <v>500</v>
      </c>
      <c r="K712" s="13">
        <f>I712*J712</f>
        <v>1500</v>
      </c>
      <c r="L712" s="19">
        <f t="shared" si="34"/>
        <v>22.5</v>
      </c>
      <c r="M712" s="19">
        <f t="shared" si="35"/>
        <v>30</v>
      </c>
      <c r="N712" s="13" cm="1">
        <f t="array" ref="N712">_xlfn.IFS(C712=2023,K712*$P$2,C712=2024,K712*$P$3)</f>
        <v>22.5</v>
      </c>
    </row>
    <row r="713" spans="1:14">
      <c r="A713" s="2">
        <v>712</v>
      </c>
      <c r="B713" s="3">
        <v>45266</v>
      </c>
      <c r="C713" s="4">
        <f t="shared" si="33"/>
        <v>2023</v>
      </c>
      <c r="D713" s="4" t="s">
        <v>759</v>
      </c>
      <c r="E713" s="4" t="s">
        <v>20</v>
      </c>
      <c r="F713" s="4">
        <v>57</v>
      </c>
      <c r="G713" s="4" t="str" cm="1">
        <f t="array" ref="G713">_xlfn.IFS(F713&lt;30,"Young Adult",F713&lt;50,"Adult",F713&gt;=50,"Senior")</f>
        <v>Senior</v>
      </c>
      <c r="H713" s="4" t="s">
        <v>17</v>
      </c>
      <c r="I713" s="4">
        <v>2</v>
      </c>
      <c r="J713" s="11">
        <v>25</v>
      </c>
      <c r="K713" s="13">
        <f>I713*J713</f>
        <v>50</v>
      </c>
      <c r="L713" s="19">
        <f t="shared" si="34"/>
        <v>0.75</v>
      </c>
      <c r="M713" s="19">
        <f t="shared" si="35"/>
        <v>1</v>
      </c>
      <c r="N713" s="13" cm="1">
        <f t="array" ref="N713">_xlfn.IFS(C713=2023,K713*$P$2,C713=2024,K713*$P$3)</f>
        <v>0.75</v>
      </c>
    </row>
    <row r="714" spans="1:14">
      <c r="A714" s="2">
        <v>713</v>
      </c>
      <c r="B714" s="3">
        <v>44940</v>
      </c>
      <c r="C714" s="4">
        <f t="shared" si="33"/>
        <v>2023</v>
      </c>
      <c r="D714" s="4" t="s">
        <v>760</v>
      </c>
      <c r="E714" s="4" t="s">
        <v>16</v>
      </c>
      <c r="F714" s="4">
        <v>34</v>
      </c>
      <c r="G714" s="4" t="str" cm="1">
        <f t="array" ref="G714">_xlfn.IFS(F714&lt;30,"Young Adult",F714&lt;50,"Adult",F714&gt;=50,"Senior")</f>
        <v>Adult</v>
      </c>
      <c r="H714" s="4" t="s">
        <v>17</v>
      </c>
      <c r="I714" s="4">
        <v>3</v>
      </c>
      <c r="J714" s="11">
        <v>25</v>
      </c>
      <c r="K714" s="13">
        <f>I714*J714</f>
        <v>75</v>
      </c>
      <c r="L714" s="19">
        <f t="shared" si="34"/>
        <v>1.125</v>
      </c>
      <c r="M714" s="19">
        <f t="shared" si="35"/>
        <v>1.5</v>
      </c>
      <c r="N714" s="13" cm="1">
        <f t="array" ref="N714">_xlfn.IFS(C714=2023,K714*$P$2,C714=2024,K714*$P$3)</f>
        <v>1.125</v>
      </c>
    </row>
    <row r="715" spans="1:14">
      <c r="A715" s="2">
        <v>714</v>
      </c>
      <c r="B715" s="3">
        <v>44969</v>
      </c>
      <c r="C715" s="4">
        <f t="shared" si="33"/>
        <v>2023</v>
      </c>
      <c r="D715" s="4" t="s">
        <v>761</v>
      </c>
      <c r="E715" s="4" t="s">
        <v>20</v>
      </c>
      <c r="F715" s="4">
        <v>18</v>
      </c>
      <c r="G715" s="4" t="str" cm="1">
        <f t="array" ref="G715">_xlfn.IFS(F715&lt;30,"Young Adult",F715&lt;50,"Adult",F715&gt;=50,"Senior")</f>
        <v>Young Adult</v>
      </c>
      <c r="H715" s="4" t="s">
        <v>21</v>
      </c>
      <c r="I715" s="4">
        <v>1</v>
      </c>
      <c r="J715" s="11">
        <v>500</v>
      </c>
      <c r="K715" s="13">
        <f>I715*J715</f>
        <v>500</v>
      </c>
      <c r="L715" s="19">
        <f t="shared" si="34"/>
        <v>7.5</v>
      </c>
      <c r="M715" s="19">
        <f t="shared" si="35"/>
        <v>10</v>
      </c>
      <c r="N715" s="13" cm="1">
        <f t="array" ref="N715">_xlfn.IFS(C715=2023,K715*$P$2,C715=2024,K715*$P$3)</f>
        <v>7.5</v>
      </c>
    </row>
    <row r="716" spans="1:14">
      <c r="A716" s="2">
        <v>715</v>
      </c>
      <c r="B716" s="3">
        <v>45256</v>
      </c>
      <c r="C716" s="4">
        <f t="shared" si="33"/>
        <v>2023</v>
      </c>
      <c r="D716" s="4" t="s">
        <v>762</v>
      </c>
      <c r="E716" s="4" t="s">
        <v>20</v>
      </c>
      <c r="F716" s="4">
        <v>42</v>
      </c>
      <c r="G716" s="4" t="str" cm="1">
        <f t="array" ref="G716">_xlfn.IFS(F716&lt;30,"Young Adult",F716&lt;50,"Adult",F716&gt;=50,"Senior")</f>
        <v>Adult</v>
      </c>
      <c r="H716" s="4" t="s">
        <v>17</v>
      </c>
      <c r="I716" s="4">
        <v>4</v>
      </c>
      <c r="J716" s="11">
        <v>25</v>
      </c>
      <c r="K716" s="13">
        <f>I716*J716</f>
        <v>100</v>
      </c>
      <c r="L716" s="19">
        <f t="shared" si="34"/>
        <v>1.5</v>
      </c>
      <c r="M716" s="19">
        <f t="shared" si="35"/>
        <v>2</v>
      </c>
      <c r="N716" s="13" cm="1">
        <f t="array" ref="N716">_xlfn.IFS(C716=2023,K716*$P$2,C716=2024,K716*$P$3)</f>
        <v>1.5</v>
      </c>
    </row>
    <row r="717" spans="1:14">
      <c r="A717" s="2">
        <v>716</v>
      </c>
      <c r="B717" s="3">
        <v>45146</v>
      </c>
      <c r="C717" s="4">
        <f t="shared" si="33"/>
        <v>2023</v>
      </c>
      <c r="D717" s="4" t="s">
        <v>763</v>
      </c>
      <c r="E717" s="4" t="s">
        <v>20</v>
      </c>
      <c r="F717" s="4">
        <v>60</v>
      </c>
      <c r="G717" s="4" t="str" cm="1">
        <f t="array" ref="G717">_xlfn.IFS(F717&lt;30,"Young Adult",F717&lt;50,"Adult",F717&gt;=50,"Senior")</f>
        <v>Senior</v>
      </c>
      <c r="H717" s="4" t="s">
        <v>21</v>
      </c>
      <c r="I717" s="4">
        <v>4</v>
      </c>
      <c r="J717" s="11">
        <v>300</v>
      </c>
      <c r="K717" s="13">
        <f>I717*J717</f>
        <v>1200</v>
      </c>
      <c r="L717" s="19">
        <f t="shared" si="34"/>
        <v>18</v>
      </c>
      <c r="M717" s="19">
        <f t="shared" si="35"/>
        <v>24</v>
      </c>
      <c r="N717" s="13" cm="1">
        <f t="array" ref="N717">_xlfn.IFS(C717=2023,K717*$P$2,C717=2024,K717*$P$3)</f>
        <v>18</v>
      </c>
    </row>
    <row r="718" spans="1:14">
      <c r="A718" s="2">
        <v>717</v>
      </c>
      <c r="B718" s="3">
        <v>44996</v>
      </c>
      <c r="C718" s="4">
        <f t="shared" si="33"/>
        <v>2023</v>
      </c>
      <c r="D718" s="4" t="s">
        <v>764</v>
      </c>
      <c r="E718" s="4" t="s">
        <v>16</v>
      </c>
      <c r="F718" s="4">
        <v>57</v>
      </c>
      <c r="G718" s="4" t="str" cm="1">
        <f t="array" ref="G718">_xlfn.IFS(F718&lt;30,"Young Adult",F718&lt;50,"Adult",F718&gt;=50,"Senior")</f>
        <v>Senior</v>
      </c>
      <c r="H718" s="4" t="s">
        <v>21</v>
      </c>
      <c r="I718" s="4">
        <v>1</v>
      </c>
      <c r="J718" s="11">
        <v>500</v>
      </c>
      <c r="K718" s="13">
        <f>I718*J718</f>
        <v>500</v>
      </c>
      <c r="L718" s="19">
        <f t="shared" si="34"/>
        <v>7.5</v>
      </c>
      <c r="M718" s="19">
        <f t="shared" si="35"/>
        <v>10</v>
      </c>
      <c r="N718" s="13" cm="1">
        <f t="array" ref="N718">_xlfn.IFS(C718=2023,K718*$P$2,C718=2024,K718*$P$3)</f>
        <v>7.5</v>
      </c>
    </row>
    <row r="719" spans="1:14">
      <c r="A719" s="2">
        <v>718</v>
      </c>
      <c r="B719" s="3">
        <v>45163</v>
      </c>
      <c r="C719" s="4">
        <f t="shared" si="33"/>
        <v>2023</v>
      </c>
      <c r="D719" s="4" t="s">
        <v>765</v>
      </c>
      <c r="E719" s="4" t="s">
        <v>20</v>
      </c>
      <c r="F719" s="4">
        <v>59</v>
      </c>
      <c r="G719" s="4" t="str" cm="1">
        <f t="array" ref="G719">_xlfn.IFS(F719&lt;30,"Young Adult",F719&lt;50,"Adult",F719&gt;=50,"Senior")</f>
        <v>Senior</v>
      </c>
      <c r="H719" s="4" t="s">
        <v>17</v>
      </c>
      <c r="I719" s="4">
        <v>3</v>
      </c>
      <c r="J719" s="11">
        <v>25</v>
      </c>
      <c r="K719" s="13">
        <f>I719*J719</f>
        <v>75</v>
      </c>
      <c r="L719" s="19">
        <f t="shared" si="34"/>
        <v>1.125</v>
      </c>
      <c r="M719" s="19">
        <f t="shared" si="35"/>
        <v>1.5</v>
      </c>
      <c r="N719" s="13" cm="1">
        <f t="array" ref="N719">_xlfn.IFS(C719=2023,K719*$P$2,C719=2024,K719*$P$3)</f>
        <v>1.125</v>
      </c>
    </row>
    <row r="720" spans="1:14">
      <c r="A720" s="2">
        <v>719</v>
      </c>
      <c r="B720" s="3">
        <v>45020</v>
      </c>
      <c r="C720" s="4">
        <f t="shared" si="33"/>
        <v>2023</v>
      </c>
      <c r="D720" s="4" t="s">
        <v>766</v>
      </c>
      <c r="E720" s="4" t="s">
        <v>20</v>
      </c>
      <c r="F720" s="4">
        <v>42</v>
      </c>
      <c r="G720" s="4" t="str" cm="1">
        <f t="array" ref="G720">_xlfn.IFS(F720&lt;30,"Young Adult",F720&lt;50,"Adult",F720&gt;=50,"Senior")</f>
        <v>Adult</v>
      </c>
      <c r="H720" s="4" t="s">
        <v>21</v>
      </c>
      <c r="I720" s="4">
        <v>2</v>
      </c>
      <c r="J720" s="11">
        <v>30</v>
      </c>
      <c r="K720" s="13">
        <f>I720*J720</f>
        <v>60</v>
      </c>
      <c r="L720" s="19">
        <f t="shared" si="34"/>
        <v>0.89999999999999991</v>
      </c>
      <c r="M720" s="19">
        <f t="shared" si="35"/>
        <v>1.2</v>
      </c>
      <c r="N720" s="13" cm="1">
        <f t="array" ref="N720">_xlfn.IFS(C720=2023,K720*$P$2,C720=2024,K720*$P$3)</f>
        <v>0.89999999999999991</v>
      </c>
    </row>
    <row r="721" spans="1:14">
      <c r="A721" s="2">
        <v>720</v>
      </c>
      <c r="B721" s="3">
        <v>44952</v>
      </c>
      <c r="C721" s="4">
        <f t="shared" si="33"/>
        <v>2023</v>
      </c>
      <c r="D721" s="4" t="s">
        <v>767</v>
      </c>
      <c r="E721" s="4" t="s">
        <v>20</v>
      </c>
      <c r="F721" s="4">
        <v>56</v>
      </c>
      <c r="G721" s="4" t="str" cm="1">
        <f t="array" ref="G721">_xlfn.IFS(F721&lt;30,"Young Adult",F721&lt;50,"Adult",F721&gt;=50,"Senior")</f>
        <v>Senior</v>
      </c>
      <c r="H721" s="4" t="s">
        <v>17</v>
      </c>
      <c r="I721" s="4">
        <v>3</v>
      </c>
      <c r="J721" s="11">
        <v>500</v>
      </c>
      <c r="K721" s="13">
        <f>I721*J721</f>
        <v>1500</v>
      </c>
      <c r="L721" s="19">
        <f t="shared" si="34"/>
        <v>22.5</v>
      </c>
      <c r="M721" s="19">
        <f t="shared" si="35"/>
        <v>30</v>
      </c>
      <c r="N721" s="13" cm="1">
        <f t="array" ref="N721">_xlfn.IFS(C721=2023,K721*$P$2,C721=2024,K721*$P$3)</f>
        <v>22.5</v>
      </c>
    </row>
    <row r="722" spans="1:14">
      <c r="A722" s="2">
        <v>721</v>
      </c>
      <c r="B722" s="3">
        <v>45060</v>
      </c>
      <c r="C722" s="4">
        <f t="shared" si="33"/>
        <v>2023</v>
      </c>
      <c r="D722" s="4" t="s">
        <v>768</v>
      </c>
      <c r="E722" s="4" t="s">
        <v>20</v>
      </c>
      <c r="F722" s="4">
        <v>52</v>
      </c>
      <c r="G722" s="4" t="str" cm="1">
        <f t="array" ref="G722">_xlfn.IFS(F722&lt;30,"Young Adult",F722&lt;50,"Adult",F722&gt;=50,"Senior")</f>
        <v>Senior</v>
      </c>
      <c r="H722" s="4" t="s">
        <v>21</v>
      </c>
      <c r="I722" s="4">
        <v>1</v>
      </c>
      <c r="J722" s="11">
        <v>500</v>
      </c>
      <c r="K722" s="13">
        <f>I722*J722</f>
        <v>500</v>
      </c>
      <c r="L722" s="19">
        <f t="shared" si="34"/>
        <v>7.5</v>
      </c>
      <c r="M722" s="19">
        <f t="shared" si="35"/>
        <v>10</v>
      </c>
      <c r="N722" s="13" cm="1">
        <f t="array" ref="N722">_xlfn.IFS(C722=2023,K722*$P$2,C722=2024,K722*$P$3)</f>
        <v>7.5</v>
      </c>
    </row>
    <row r="723" spans="1:14">
      <c r="A723" s="2">
        <v>722</v>
      </c>
      <c r="B723" s="3">
        <v>45121</v>
      </c>
      <c r="C723" s="4">
        <f t="shared" si="33"/>
        <v>2023</v>
      </c>
      <c r="D723" s="4" t="s">
        <v>769</v>
      </c>
      <c r="E723" s="4" t="s">
        <v>16</v>
      </c>
      <c r="F723" s="4">
        <v>20</v>
      </c>
      <c r="G723" s="4" t="str" cm="1">
        <f t="array" ref="G723">_xlfn.IFS(F723&lt;30,"Young Adult",F723&lt;50,"Adult",F723&gt;=50,"Senior")</f>
        <v>Young Adult</v>
      </c>
      <c r="H723" s="4" t="s">
        <v>17</v>
      </c>
      <c r="I723" s="4">
        <v>3</v>
      </c>
      <c r="J723" s="11">
        <v>300</v>
      </c>
      <c r="K723" s="13">
        <f>I723*J723</f>
        <v>900</v>
      </c>
      <c r="L723" s="19">
        <f t="shared" si="34"/>
        <v>13.5</v>
      </c>
      <c r="M723" s="19">
        <f t="shared" si="35"/>
        <v>18</v>
      </c>
      <c r="N723" s="13" cm="1">
        <f t="array" ref="N723">_xlfn.IFS(C723=2023,K723*$P$2,C723=2024,K723*$P$3)</f>
        <v>13.5</v>
      </c>
    </row>
    <row r="724" spans="1:14">
      <c r="A724" s="2">
        <v>723</v>
      </c>
      <c r="B724" s="3">
        <v>45094</v>
      </c>
      <c r="C724" s="4">
        <f t="shared" si="33"/>
        <v>2023</v>
      </c>
      <c r="D724" s="4" t="s">
        <v>770</v>
      </c>
      <c r="E724" s="4" t="s">
        <v>20</v>
      </c>
      <c r="F724" s="4">
        <v>54</v>
      </c>
      <c r="G724" s="4" t="str" cm="1">
        <f t="array" ref="G724">_xlfn.IFS(F724&lt;30,"Young Adult",F724&lt;50,"Adult",F724&gt;=50,"Senior")</f>
        <v>Senior</v>
      </c>
      <c r="H724" s="4" t="s">
        <v>17</v>
      </c>
      <c r="I724" s="4">
        <v>4</v>
      </c>
      <c r="J724" s="11">
        <v>50</v>
      </c>
      <c r="K724" s="13">
        <f>I724*J724</f>
        <v>200</v>
      </c>
      <c r="L724" s="19">
        <f t="shared" si="34"/>
        <v>3</v>
      </c>
      <c r="M724" s="19">
        <f t="shared" si="35"/>
        <v>4</v>
      </c>
      <c r="N724" s="13" cm="1">
        <f t="array" ref="N724">_xlfn.IFS(C724=2023,K724*$P$2,C724=2024,K724*$P$3)</f>
        <v>3</v>
      </c>
    </row>
    <row r="725" spans="1:14">
      <c r="A725" s="2">
        <v>724</v>
      </c>
      <c r="B725" s="3">
        <v>45035</v>
      </c>
      <c r="C725" s="4">
        <f t="shared" si="33"/>
        <v>2023</v>
      </c>
      <c r="D725" s="4" t="s">
        <v>771</v>
      </c>
      <c r="E725" s="4" t="s">
        <v>16</v>
      </c>
      <c r="F725" s="4">
        <v>61</v>
      </c>
      <c r="G725" s="4" t="str" cm="1">
        <f t="array" ref="G725">_xlfn.IFS(F725&lt;30,"Young Adult",F725&lt;50,"Adult",F725&gt;=50,"Senior")</f>
        <v>Senior</v>
      </c>
      <c r="H725" s="4" t="s">
        <v>21</v>
      </c>
      <c r="I725" s="4">
        <v>3</v>
      </c>
      <c r="J725" s="11">
        <v>50</v>
      </c>
      <c r="K725" s="13">
        <f>I725*J725</f>
        <v>150</v>
      </c>
      <c r="L725" s="19">
        <f t="shared" si="34"/>
        <v>2.25</v>
      </c>
      <c r="M725" s="19">
        <f t="shared" si="35"/>
        <v>3</v>
      </c>
      <c r="N725" s="13" cm="1">
        <f t="array" ref="N725">_xlfn.IFS(C725=2023,K725*$P$2,C725=2024,K725*$P$3)</f>
        <v>2.25</v>
      </c>
    </row>
    <row r="726" spans="1:14">
      <c r="A726" s="2">
        <v>725</v>
      </c>
      <c r="B726" s="3">
        <v>45159</v>
      </c>
      <c r="C726" s="4">
        <f t="shared" si="33"/>
        <v>2023</v>
      </c>
      <c r="D726" s="4" t="s">
        <v>772</v>
      </c>
      <c r="E726" s="4" t="s">
        <v>16</v>
      </c>
      <c r="F726" s="4">
        <v>61</v>
      </c>
      <c r="G726" s="4" t="str" cm="1">
        <f t="array" ref="G726">_xlfn.IFS(F726&lt;30,"Young Adult",F726&lt;50,"Adult",F726&gt;=50,"Senior")</f>
        <v>Senior</v>
      </c>
      <c r="H726" s="4" t="s">
        <v>24</v>
      </c>
      <c r="I726" s="4">
        <v>1</v>
      </c>
      <c r="J726" s="11">
        <v>300</v>
      </c>
      <c r="K726" s="13">
        <f>I726*J726</f>
        <v>300</v>
      </c>
      <c r="L726" s="19">
        <f t="shared" si="34"/>
        <v>4.5</v>
      </c>
      <c r="M726" s="19">
        <f t="shared" si="35"/>
        <v>6</v>
      </c>
      <c r="N726" s="13" cm="1">
        <f t="array" ref="N726">_xlfn.IFS(C726=2023,K726*$P$2,C726=2024,K726*$P$3)</f>
        <v>4.5</v>
      </c>
    </row>
    <row r="727" spans="1:14">
      <c r="A727" s="2">
        <v>726</v>
      </c>
      <c r="B727" s="3">
        <v>45094</v>
      </c>
      <c r="C727" s="4">
        <f t="shared" si="33"/>
        <v>2023</v>
      </c>
      <c r="D727" s="4" t="s">
        <v>773</v>
      </c>
      <c r="E727" s="4" t="s">
        <v>16</v>
      </c>
      <c r="F727" s="4">
        <v>47</v>
      </c>
      <c r="G727" s="4" t="str" cm="1">
        <f t="array" ref="G727">_xlfn.IFS(F727&lt;30,"Young Adult",F727&lt;50,"Adult",F727&gt;=50,"Senior")</f>
        <v>Adult</v>
      </c>
      <c r="H727" s="4" t="s">
        <v>21</v>
      </c>
      <c r="I727" s="4">
        <v>4</v>
      </c>
      <c r="J727" s="11">
        <v>300</v>
      </c>
      <c r="K727" s="13">
        <f>I727*J727</f>
        <v>1200</v>
      </c>
      <c r="L727" s="19">
        <f t="shared" si="34"/>
        <v>18</v>
      </c>
      <c r="M727" s="19">
        <f t="shared" si="35"/>
        <v>24</v>
      </c>
      <c r="N727" s="13" cm="1">
        <f t="array" ref="N727">_xlfn.IFS(C727=2023,K727*$P$2,C727=2024,K727*$P$3)</f>
        <v>18</v>
      </c>
    </row>
    <row r="728" spans="1:14">
      <c r="A728" s="2">
        <v>727</v>
      </c>
      <c r="B728" s="3">
        <v>45099</v>
      </c>
      <c r="C728" s="4">
        <f t="shared" si="33"/>
        <v>2023</v>
      </c>
      <c r="D728" s="4" t="s">
        <v>774</v>
      </c>
      <c r="E728" s="4" t="s">
        <v>16</v>
      </c>
      <c r="F728" s="4">
        <v>55</v>
      </c>
      <c r="G728" s="4" t="str" cm="1">
        <f t="array" ref="G728">_xlfn.IFS(F728&lt;30,"Young Adult",F728&lt;50,"Adult",F728&gt;=50,"Senior")</f>
        <v>Senior</v>
      </c>
      <c r="H728" s="4" t="s">
        <v>17</v>
      </c>
      <c r="I728" s="4">
        <v>3</v>
      </c>
      <c r="J728" s="11">
        <v>300</v>
      </c>
      <c r="K728" s="13">
        <f>I728*J728</f>
        <v>900</v>
      </c>
      <c r="L728" s="19">
        <f t="shared" si="34"/>
        <v>13.5</v>
      </c>
      <c r="M728" s="19">
        <f t="shared" si="35"/>
        <v>18</v>
      </c>
      <c r="N728" s="13" cm="1">
        <f t="array" ref="N728">_xlfn.IFS(C728=2023,K728*$P$2,C728=2024,K728*$P$3)</f>
        <v>13.5</v>
      </c>
    </row>
    <row r="729" spans="1:14">
      <c r="A729" s="2">
        <v>728</v>
      </c>
      <c r="B729" s="3">
        <v>45121</v>
      </c>
      <c r="C729" s="4">
        <f t="shared" si="33"/>
        <v>2023</v>
      </c>
      <c r="D729" s="4" t="s">
        <v>775</v>
      </c>
      <c r="E729" s="4" t="s">
        <v>16</v>
      </c>
      <c r="F729" s="4">
        <v>51</v>
      </c>
      <c r="G729" s="4" t="str" cm="1">
        <f t="array" ref="G729">_xlfn.IFS(F729&lt;30,"Young Adult",F729&lt;50,"Adult",F729&gt;=50,"Senior")</f>
        <v>Senior</v>
      </c>
      <c r="H729" s="4" t="s">
        <v>24</v>
      </c>
      <c r="I729" s="4">
        <v>3</v>
      </c>
      <c r="J729" s="11">
        <v>50</v>
      </c>
      <c r="K729" s="13">
        <f>I729*J729</f>
        <v>150</v>
      </c>
      <c r="L729" s="19">
        <f t="shared" si="34"/>
        <v>2.25</v>
      </c>
      <c r="M729" s="19">
        <f t="shared" si="35"/>
        <v>3</v>
      </c>
      <c r="N729" s="13" cm="1">
        <f t="array" ref="N729">_xlfn.IFS(C729=2023,K729*$P$2,C729=2024,K729*$P$3)</f>
        <v>2.25</v>
      </c>
    </row>
    <row r="730" spans="1:14">
      <c r="A730" s="2">
        <v>729</v>
      </c>
      <c r="B730" s="3">
        <v>45069</v>
      </c>
      <c r="C730" s="4">
        <f t="shared" si="33"/>
        <v>2023</v>
      </c>
      <c r="D730" s="4" t="s">
        <v>776</v>
      </c>
      <c r="E730" s="4" t="s">
        <v>16</v>
      </c>
      <c r="F730" s="4">
        <v>29</v>
      </c>
      <c r="G730" s="4" t="str" cm="1">
        <f t="array" ref="G730">_xlfn.IFS(F730&lt;30,"Young Adult",F730&lt;50,"Adult",F730&gt;=50,"Senior")</f>
        <v>Young Adult</v>
      </c>
      <c r="H730" s="4" t="s">
        <v>21</v>
      </c>
      <c r="I730" s="4">
        <v>4</v>
      </c>
      <c r="J730" s="11">
        <v>300</v>
      </c>
      <c r="K730" s="13">
        <f>I730*J730</f>
        <v>1200</v>
      </c>
      <c r="L730" s="19">
        <f t="shared" si="34"/>
        <v>18</v>
      </c>
      <c r="M730" s="19">
        <f t="shared" si="35"/>
        <v>24</v>
      </c>
      <c r="N730" s="13" cm="1">
        <f t="array" ref="N730">_xlfn.IFS(C730=2023,K730*$P$2,C730=2024,K730*$P$3)</f>
        <v>18</v>
      </c>
    </row>
    <row r="731" spans="1:14">
      <c r="A731" s="2">
        <v>730</v>
      </c>
      <c r="B731" s="3">
        <v>45142</v>
      </c>
      <c r="C731" s="4">
        <f t="shared" si="33"/>
        <v>2023</v>
      </c>
      <c r="D731" s="4" t="s">
        <v>777</v>
      </c>
      <c r="E731" s="4" t="s">
        <v>20</v>
      </c>
      <c r="F731" s="4">
        <v>36</v>
      </c>
      <c r="G731" s="4" t="str" cm="1">
        <f t="array" ref="G731">_xlfn.IFS(F731&lt;30,"Young Adult",F731&lt;50,"Adult",F731&gt;=50,"Senior")</f>
        <v>Adult</v>
      </c>
      <c r="H731" s="4" t="s">
        <v>21</v>
      </c>
      <c r="I731" s="4">
        <v>2</v>
      </c>
      <c r="J731" s="11">
        <v>25</v>
      </c>
      <c r="K731" s="13">
        <f>I731*J731</f>
        <v>50</v>
      </c>
      <c r="L731" s="19">
        <f t="shared" si="34"/>
        <v>0.75</v>
      </c>
      <c r="M731" s="19">
        <f t="shared" si="35"/>
        <v>1</v>
      </c>
      <c r="N731" s="13" cm="1">
        <f t="array" ref="N731">_xlfn.IFS(C731=2023,K731*$P$2,C731=2024,K731*$P$3)</f>
        <v>0.75</v>
      </c>
    </row>
    <row r="732" spans="1:14">
      <c r="A732" s="2">
        <v>731</v>
      </c>
      <c r="B732" s="3">
        <v>45056</v>
      </c>
      <c r="C732" s="4">
        <f t="shared" si="33"/>
        <v>2023</v>
      </c>
      <c r="D732" s="4" t="s">
        <v>778</v>
      </c>
      <c r="E732" s="4" t="s">
        <v>16</v>
      </c>
      <c r="F732" s="4">
        <v>54</v>
      </c>
      <c r="G732" s="4" t="str" cm="1">
        <f t="array" ref="G732">_xlfn.IFS(F732&lt;30,"Young Adult",F732&lt;50,"Adult",F732&gt;=50,"Senior")</f>
        <v>Senior</v>
      </c>
      <c r="H732" s="4" t="s">
        <v>21</v>
      </c>
      <c r="I732" s="4">
        <v>4</v>
      </c>
      <c r="J732" s="11">
        <v>500</v>
      </c>
      <c r="K732" s="13">
        <f>I732*J732</f>
        <v>2000</v>
      </c>
      <c r="L732" s="19">
        <f t="shared" si="34"/>
        <v>30</v>
      </c>
      <c r="M732" s="19">
        <f t="shared" si="35"/>
        <v>40</v>
      </c>
      <c r="N732" s="13" cm="1">
        <f t="array" ref="N732">_xlfn.IFS(C732=2023,K732*$P$2,C732=2024,K732*$P$3)</f>
        <v>30</v>
      </c>
    </row>
    <row r="733" spans="1:14">
      <c r="A733" s="2">
        <v>732</v>
      </c>
      <c r="B733" s="3">
        <v>44968</v>
      </c>
      <c r="C733" s="4">
        <f t="shared" si="33"/>
        <v>2023</v>
      </c>
      <c r="D733" s="4" t="s">
        <v>779</v>
      </c>
      <c r="E733" s="4" t="s">
        <v>16</v>
      </c>
      <c r="F733" s="4">
        <v>61</v>
      </c>
      <c r="G733" s="4" t="str" cm="1">
        <f t="array" ref="G733">_xlfn.IFS(F733&lt;30,"Young Adult",F733&lt;50,"Adult",F733&gt;=50,"Senior")</f>
        <v>Senior</v>
      </c>
      <c r="H733" s="4" t="s">
        <v>24</v>
      </c>
      <c r="I733" s="4">
        <v>2</v>
      </c>
      <c r="J733" s="11">
        <v>500</v>
      </c>
      <c r="K733" s="13">
        <f>I733*J733</f>
        <v>1000</v>
      </c>
      <c r="L733" s="19">
        <f t="shared" si="34"/>
        <v>15</v>
      </c>
      <c r="M733" s="19">
        <f t="shared" si="35"/>
        <v>20</v>
      </c>
      <c r="N733" s="13" cm="1">
        <f t="array" ref="N733">_xlfn.IFS(C733=2023,K733*$P$2,C733=2024,K733*$P$3)</f>
        <v>15</v>
      </c>
    </row>
    <row r="734" spans="1:14">
      <c r="A734" s="2">
        <v>733</v>
      </c>
      <c r="B734" s="3">
        <v>45167</v>
      </c>
      <c r="C734" s="4">
        <f t="shared" si="33"/>
        <v>2023</v>
      </c>
      <c r="D734" s="4" t="s">
        <v>780</v>
      </c>
      <c r="E734" s="4" t="s">
        <v>16</v>
      </c>
      <c r="F734" s="4">
        <v>34</v>
      </c>
      <c r="G734" s="4" t="str" cm="1">
        <f t="array" ref="G734">_xlfn.IFS(F734&lt;30,"Young Adult",F734&lt;50,"Adult",F734&gt;=50,"Senior")</f>
        <v>Adult</v>
      </c>
      <c r="H734" s="4" t="s">
        <v>17</v>
      </c>
      <c r="I734" s="4">
        <v>1</v>
      </c>
      <c r="J734" s="11">
        <v>30</v>
      </c>
      <c r="K734" s="13">
        <f>I734*J734</f>
        <v>30</v>
      </c>
      <c r="L734" s="19">
        <f t="shared" si="34"/>
        <v>0.44999999999999996</v>
      </c>
      <c r="M734" s="19">
        <f t="shared" si="35"/>
        <v>0.6</v>
      </c>
      <c r="N734" s="13" cm="1">
        <f t="array" ref="N734">_xlfn.IFS(C734=2023,K734*$P$2,C734=2024,K734*$P$3)</f>
        <v>0.44999999999999996</v>
      </c>
    </row>
    <row r="735" spans="1:14">
      <c r="A735" s="2">
        <v>734</v>
      </c>
      <c r="B735" s="3">
        <v>44936</v>
      </c>
      <c r="C735" s="4">
        <f t="shared" si="33"/>
        <v>2023</v>
      </c>
      <c r="D735" s="4" t="s">
        <v>781</v>
      </c>
      <c r="E735" s="4" t="s">
        <v>20</v>
      </c>
      <c r="F735" s="4">
        <v>27</v>
      </c>
      <c r="G735" s="4" t="str" cm="1">
        <f t="array" ref="G735">_xlfn.IFS(F735&lt;30,"Young Adult",F735&lt;50,"Adult",F735&gt;=50,"Senior")</f>
        <v>Young Adult</v>
      </c>
      <c r="H735" s="4" t="s">
        <v>21</v>
      </c>
      <c r="I735" s="4">
        <v>1</v>
      </c>
      <c r="J735" s="11">
        <v>30</v>
      </c>
      <c r="K735" s="13">
        <f>I735*J735</f>
        <v>30</v>
      </c>
      <c r="L735" s="19">
        <f t="shared" si="34"/>
        <v>0.44999999999999996</v>
      </c>
      <c r="M735" s="19">
        <f t="shared" si="35"/>
        <v>0.6</v>
      </c>
      <c r="N735" s="13" cm="1">
        <f t="array" ref="N735">_xlfn.IFS(C735=2023,K735*$P$2,C735=2024,K735*$P$3)</f>
        <v>0.44999999999999996</v>
      </c>
    </row>
    <row r="736" spans="1:14">
      <c r="A736" s="2">
        <v>735</v>
      </c>
      <c r="B736" s="3">
        <v>45203</v>
      </c>
      <c r="C736" s="4">
        <f t="shared" si="33"/>
        <v>2023</v>
      </c>
      <c r="D736" s="4" t="s">
        <v>782</v>
      </c>
      <c r="E736" s="4" t="s">
        <v>20</v>
      </c>
      <c r="F736" s="4">
        <v>64</v>
      </c>
      <c r="G736" s="4" t="str" cm="1">
        <f t="array" ref="G736">_xlfn.IFS(F736&lt;30,"Young Adult",F736&lt;50,"Adult",F736&gt;=50,"Senior")</f>
        <v>Senior</v>
      </c>
      <c r="H736" s="4" t="s">
        <v>21</v>
      </c>
      <c r="I736" s="4">
        <v>4</v>
      </c>
      <c r="J736" s="11">
        <v>500</v>
      </c>
      <c r="K736" s="13">
        <f>I736*J736</f>
        <v>2000</v>
      </c>
      <c r="L736" s="19">
        <f t="shared" si="34"/>
        <v>30</v>
      </c>
      <c r="M736" s="19">
        <f t="shared" si="35"/>
        <v>40</v>
      </c>
      <c r="N736" s="13" cm="1">
        <f t="array" ref="N736">_xlfn.IFS(C736=2023,K736*$P$2,C736=2024,K736*$P$3)</f>
        <v>30</v>
      </c>
    </row>
    <row r="737" spans="1:14">
      <c r="A737" s="2">
        <v>736</v>
      </c>
      <c r="B737" s="3">
        <v>44953</v>
      </c>
      <c r="C737" s="4">
        <f t="shared" si="33"/>
        <v>2023</v>
      </c>
      <c r="D737" s="4" t="s">
        <v>783</v>
      </c>
      <c r="E737" s="4" t="s">
        <v>16</v>
      </c>
      <c r="F737" s="4">
        <v>29</v>
      </c>
      <c r="G737" s="4" t="str" cm="1">
        <f t="array" ref="G737">_xlfn.IFS(F737&lt;30,"Young Adult",F737&lt;50,"Adult",F737&gt;=50,"Senior")</f>
        <v>Young Adult</v>
      </c>
      <c r="H737" s="4" t="s">
        <v>21</v>
      </c>
      <c r="I737" s="4">
        <v>4</v>
      </c>
      <c r="J737" s="11">
        <v>25</v>
      </c>
      <c r="K737" s="13">
        <f>I737*J737</f>
        <v>100</v>
      </c>
      <c r="L737" s="19">
        <f t="shared" si="34"/>
        <v>1.5</v>
      </c>
      <c r="M737" s="19">
        <f t="shared" si="35"/>
        <v>2</v>
      </c>
      <c r="N737" s="13" cm="1">
        <f t="array" ref="N737">_xlfn.IFS(C737=2023,K737*$P$2,C737=2024,K737*$P$3)</f>
        <v>1.5</v>
      </c>
    </row>
    <row r="738" spans="1:14">
      <c r="A738" s="2">
        <v>737</v>
      </c>
      <c r="B738" s="3">
        <v>45106</v>
      </c>
      <c r="C738" s="4">
        <f t="shared" si="33"/>
        <v>2023</v>
      </c>
      <c r="D738" s="4" t="s">
        <v>784</v>
      </c>
      <c r="E738" s="4" t="s">
        <v>20</v>
      </c>
      <c r="F738" s="4">
        <v>33</v>
      </c>
      <c r="G738" s="4" t="str" cm="1">
        <f t="array" ref="G738">_xlfn.IFS(F738&lt;30,"Young Adult",F738&lt;50,"Adult",F738&gt;=50,"Senior")</f>
        <v>Adult</v>
      </c>
      <c r="H738" s="4" t="s">
        <v>21</v>
      </c>
      <c r="I738" s="4">
        <v>1</v>
      </c>
      <c r="J738" s="11">
        <v>50</v>
      </c>
      <c r="K738" s="13">
        <f>I738*J738</f>
        <v>50</v>
      </c>
      <c r="L738" s="19">
        <f t="shared" si="34"/>
        <v>0.75</v>
      </c>
      <c r="M738" s="19">
        <f t="shared" si="35"/>
        <v>1</v>
      </c>
      <c r="N738" s="13" cm="1">
        <f t="array" ref="N738">_xlfn.IFS(C738=2023,K738*$P$2,C738=2024,K738*$P$3)</f>
        <v>0.75</v>
      </c>
    </row>
    <row r="739" spans="1:14">
      <c r="A739" s="2">
        <v>738</v>
      </c>
      <c r="B739" s="3">
        <v>45041</v>
      </c>
      <c r="C739" s="4">
        <f t="shared" si="33"/>
        <v>2023</v>
      </c>
      <c r="D739" s="4" t="s">
        <v>785</v>
      </c>
      <c r="E739" s="4" t="s">
        <v>16</v>
      </c>
      <c r="F739" s="4">
        <v>41</v>
      </c>
      <c r="G739" s="4" t="str" cm="1">
        <f t="array" ref="G739">_xlfn.IFS(F739&lt;30,"Young Adult",F739&lt;50,"Adult",F739&gt;=50,"Senior")</f>
        <v>Adult</v>
      </c>
      <c r="H739" s="4" t="s">
        <v>21</v>
      </c>
      <c r="I739" s="4">
        <v>2</v>
      </c>
      <c r="J739" s="11">
        <v>50</v>
      </c>
      <c r="K739" s="13">
        <f>I739*J739</f>
        <v>100</v>
      </c>
      <c r="L739" s="19">
        <f t="shared" si="34"/>
        <v>1.5</v>
      </c>
      <c r="M739" s="19">
        <f t="shared" si="35"/>
        <v>2</v>
      </c>
      <c r="N739" s="13" cm="1">
        <f t="array" ref="N739">_xlfn.IFS(C739=2023,K739*$P$2,C739=2024,K739*$P$3)</f>
        <v>1.5</v>
      </c>
    </row>
    <row r="740" spans="1:14">
      <c r="A740" s="2">
        <v>739</v>
      </c>
      <c r="B740" s="3">
        <v>45259</v>
      </c>
      <c r="C740" s="4">
        <f t="shared" si="33"/>
        <v>2023</v>
      </c>
      <c r="D740" s="4" t="s">
        <v>786</v>
      </c>
      <c r="E740" s="4" t="s">
        <v>16</v>
      </c>
      <c r="F740" s="4">
        <v>36</v>
      </c>
      <c r="G740" s="4" t="str" cm="1">
        <f t="array" ref="G740">_xlfn.IFS(F740&lt;30,"Young Adult",F740&lt;50,"Adult",F740&gt;=50,"Senior")</f>
        <v>Adult</v>
      </c>
      <c r="H740" s="4" t="s">
        <v>17</v>
      </c>
      <c r="I740" s="4">
        <v>1</v>
      </c>
      <c r="J740" s="11">
        <v>25</v>
      </c>
      <c r="K740" s="13">
        <f>I740*J740</f>
        <v>25</v>
      </c>
      <c r="L740" s="19">
        <f t="shared" si="34"/>
        <v>0.375</v>
      </c>
      <c r="M740" s="19">
        <f t="shared" si="35"/>
        <v>0.5</v>
      </c>
      <c r="N740" s="13" cm="1">
        <f t="array" ref="N740">_xlfn.IFS(C740=2023,K740*$P$2,C740=2024,K740*$P$3)</f>
        <v>0.375</v>
      </c>
    </row>
    <row r="741" spans="1:14">
      <c r="A741" s="2">
        <v>740</v>
      </c>
      <c r="B741" s="3">
        <v>44962</v>
      </c>
      <c r="C741" s="4">
        <f t="shared" si="33"/>
        <v>2023</v>
      </c>
      <c r="D741" s="4" t="s">
        <v>787</v>
      </c>
      <c r="E741" s="4" t="s">
        <v>20</v>
      </c>
      <c r="F741" s="4">
        <v>25</v>
      </c>
      <c r="G741" s="4" t="str" cm="1">
        <f t="array" ref="G741">_xlfn.IFS(F741&lt;30,"Young Adult",F741&lt;50,"Adult",F741&gt;=50,"Senior")</f>
        <v>Young Adult</v>
      </c>
      <c r="H741" s="4" t="s">
        <v>17</v>
      </c>
      <c r="I741" s="4">
        <v>4</v>
      </c>
      <c r="J741" s="11">
        <v>50</v>
      </c>
      <c r="K741" s="13">
        <f>I741*J741</f>
        <v>200</v>
      </c>
      <c r="L741" s="19">
        <f t="shared" si="34"/>
        <v>3</v>
      </c>
      <c r="M741" s="19">
        <f t="shared" si="35"/>
        <v>4</v>
      </c>
      <c r="N741" s="13" cm="1">
        <f t="array" ref="N741">_xlfn.IFS(C741=2023,K741*$P$2,C741=2024,K741*$P$3)</f>
        <v>3</v>
      </c>
    </row>
    <row r="742" spans="1:14">
      <c r="A742" s="2">
        <v>741</v>
      </c>
      <c r="B742" s="3">
        <v>45260</v>
      </c>
      <c r="C742" s="4">
        <f t="shared" si="33"/>
        <v>2023</v>
      </c>
      <c r="D742" s="4" t="s">
        <v>788</v>
      </c>
      <c r="E742" s="4" t="s">
        <v>16</v>
      </c>
      <c r="F742" s="4">
        <v>48</v>
      </c>
      <c r="G742" s="4" t="str" cm="1">
        <f t="array" ref="G742">_xlfn.IFS(F742&lt;30,"Young Adult",F742&lt;50,"Adult",F742&gt;=50,"Senior")</f>
        <v>Adult</v>
      </c>
      <c r="H742" s="4" t="s">
        <v>21</v>
      </c>
      <c r="I742" s="4">
        <v>1</v>
      </c>
      <c r="J742" s="11">
        <v>300</v>
      </c>
      <c r="K742" s="13">
        <f>I742*J742</f>
        <v>300</v>
      </c>
      <c r="L742" s="19">
        <f t="shared" si="34"/>
        <v>4.5</v>
      </c>
      <c r="M742" s="19">
        <f t="shared" si="35"/>
        <v>6</v>
      </c>
      <c r="N742" s="13" cm="1">
        <f t="array" ref="N742">_xlfn.IFS(C742=2023,K742*$P$2,C742=2024,K742*$P$3)</f>
        <v>4.5</v>
      </c>
    </row>
    <row r="743" spans="1:14">
      <c r="A743" s="2">
        <v>742</v>
      </c>
      <c r="B743" s="3">
        <v>44947</v>
      </c>
      <c r="C743" s="4">
        <f t="shared" si="33"/>
        <v>2023</v>
      </c>
      <c r="D743" s="4" t="s">
        <v>789</v>
      </c>
      <c r="E743" s="4" t="s">
        <v>20</v>
      </c>
      <c r="F743" s="4">
        <v>38</v>
      </c>
      <c r="G743" s="4" t="str" cm="1">
        <f t="array" ref="G743">_xlfn.IFS(F743&lt;30,"Young Adult",F743&lt;50,"Adult",F743&gt;=50,"Senior")</f>
        <v>Adult</v>
      </c>
      <c r="H743" s="4" t="s">
        <v>24</v>
      </c>
      <c r="I743" s="4">
        <v>4</v>
      </c>
      <c r="J743" s="11">
        <v>500</v>
      </c>
      <c r="K743" s="13">
        <f>I743*J743</f>
        <v>2000</v>
      </c>
      <c r="L743" s="19">
        <f t="shared" si="34"/>
        <v>30</v>
      </c>
      <c r="M743" s="19">
        <f t="shared" si="35"/>
        <v>40</v>
      </c>
      <c r="N743" s="13" cm="1">
        <f t="array" ref="N743">_xlfn.IFS(C743=2023,K743*$P$2,C743=2024,K743*$P$3)</f>
        <v>30</v>
      </c>
    </row>
    <row r="744" spans="1:14">
      <c r="A744" s="2">
        <v>743</v>
      </c>
      <c r="B744" s="3">
        <v>44942</v>
      </c>
      <c r="C744" s="4">
        <f t="shared" si="33"/>
        <v>2023</v>
      </c>
      <c r="D744" s="4" t="s">
        <v>790</v>
      </c>
      <c r="E744" s="4" t="s">
        <v>20</v>
      </c>
      <c r="F744" s="4">
        <v>34</v>
      </c>
      <c r="G744" s="4" t="str" cm="1">
        <f t="array" ref="G744">_xlfn.IFS(F744&lt;30,"Young Adult",F744&lt;50,"Adult",F744&gt;=50,"Senior")</f>
        <v>Adult</v>
      </c>
      <c r="H744" s="4" t="s">
        <v>17</v>
      </c>
      <c r="I744" s="4">
        <v>4</v>
      </c>
      <c r="J744" s="11">
        <v>500</v>
      </c>
      <c r="K744" s="13">
        <f>I744*J744</f>
        <v>2000</v>
      </c>
      <c r="L744" s="19">
        <f t="shared" si="34"/>
        <v>30</v>
      </c>
      <c r="M744" s="19">
        <f t="shared" si="35"/>
        <v>40</v>
      </c>
      <c r="N744" s="13" cm="1">
        <f t="array" ref="N744">_xlfn.IFS(C744=2023,K744*$P$2,C744=2024,K744*$P$3)</f>
        <v>30</v>
      </c>
    </row>
    <row r="745" spans="1:14">
      <c r="A745" s="2">
        <v>744</v>
      </c>
      <c r="B745" s="3">
        <v>45053</v>
      </c>
      <c r="C745" s="4">
        <f t="shared" si="33"/>
        <v>2023</v>
      </c>
      <c r="D745" s="4" t="s">
        <v>791</v>
      </c>
      <c r="E745" s="4" t="s">
        <v>16</v>
      </c>
      <c r="F745" s="4">
        <v>40</v>
      </c>
      <c r="G745" s="4" t="str" cm="1">
        <f t="array" ref="G745">_xlfn.IFS(F745&lt;30,"Young Adult",F745&lt;50,"Adult",F745&gt;=50,"Senior")</f>
        <v>Adult</v>
      </c>
      <c r="H745" s="4" t="s">
        <v>24</v>
      </c>
      <c r="I745" s="4">
        <v>1</v>
      </c>
      <c r="J745" s="11">
        <v>25</v>
      </c>
      <c r="K745" s="13">
        <f>I745*J745</f>
        <v>25</v>
      </c>
      <c r="L745" s="19">
        <f t="shared" si="34"/>
        <v>0.375</v>
      </c>
      <c r="M745" s="19">
        <f t="shared" si="35"/>
        <v>0.5</v>
      </c>
      <c r="N745" s="13" cm="1">
        <f t="array" ref="N745">_xlfn.IFS(C745=2023,K745*$P$2,C745=2024,K745*$P$3)</f>
        <v>0.375</v>
      </c>
    </row>
    <row r="746" spans="1:14">
      <c r="A746" s="2">
        <v>745</v>
      </c>
      <c r="B746" s="3">
        <v>45029</v>
      </c>
      <c r="C746" s="4">
        <f t="shared" si="33"/>
        <v>2023</v>
      </c>
      <c r="D746" s="4" t="s">
        <v>792</v>
      </c>
      <c r="E746" s="4" t="s">
        <v>16</v>
      </c>
      <c r="F746" s="4">
        <v>54</v>
      </c>
      <c r="G746" s="4" t="str" cm="1">
        <f t="array" ref="G746">_xlfn.IFS(F746&lt;30,"Young Adult",F746&lt;50,"Adult",F746&gt;=50,"Senior")</f>
        <v>Senior</v>
      </c>
      <c r="H746" s="4" t="s">
        <v>17</v>
      </c>
      <c r="I746" s="4">
        <v>2</v>
      </c>
      <c r="J746" s="11">
        <v>50</v>
      </c>
      <c r="K746" s="13">
        <f>I746*J746</f>
        <v>100</v>
      </c>
      <c r="L746" s="19">
        <f t="shared" si="34"/>
        <v>1.5</v>
      </c>
      <c r="M746" s="19">
        <f t="shared" si="35"/>
        <v>2</v>
      </c>
      <c r="N746" s="13" cm="1">
        <f t="array" ref="N746">_xlfn.IFS(C746=2023,K746*$P$2,C746=2024,K746*$P$3)</f>
        <v>1.5</v>
      </c>
    </row>
    <row r="747" spans="1:14">
      <c r="A747" s="2">
        <v>746</v>
      </c>
      <c r="B747" s="3">
        <v>44937</v>
      </c>
      <c r="C747" s="4">
        <f t="shared" si="33"/>
        <v>2023</v>
      </c>
      <c r="D747" s="4" t="s">
        <v>793</v>
      </c>
      <c r="E747" s="4" t="s">
        <v>20</v>
      </c>
      <c r="F747" s="4">
        <v>33</v>
      </c>
      <c r="G747" s="4" t="str" cm="1">
        <f t="array" ref="G747">_xlfn.IFS(F747&lt;30,"Young Adult",F747&lt;50,"Adult",F747&gt;=50,"Senior")</f>
        <v>Adult</v>
      </c>
      <c r="H747" s="4" t="s">
        <v>21</v>
      </c>
      <c r="I747" s="4">
        <v>3</v>
      </c>
      <c r="J747" s="11">
        <v>30</v>
      </c>
      <c r="K747" s="13">
        <f>I747*J747</f>
        <v>90</v>
      </c>
      <c r="L747" s="19">
        <f t="shared" si="34"/>
        <v>1.3499999999999999</v>
      </c>
      <c r="M747" s="19">
        <f t="shared" si="35"/>
        <v>1.8</v>
      </c>
      <c r="N747" s="13" cm="1">
        <f t="array" ref="N747">_xlfn.IFS(C747=2023,K747*$P$2,C747=2024,K747*$P$3)</f>
        <v>1.3499999999999999</v>
      </c>
    </row>
    <row r="748" spans="1:14">
      <c r="A748" s="2">
        <v>747</v>
      </c>
      <c r="B748" s="3">
        <v>45245</v>
      </c>
      <c r="C748" s="4">
        <f t="shared" si="33"/>
        <v>2023</v>
      </c>
      <c r="D748" s="4" t="s">
        <v>794</v>
      </c>
      <c r="E748" s="4" t="s">
        <v>16</v>
      </c>
      <c r="F748" s="4">
        <v>23</v>
      </c>
      <c r="G748" s="4" t="str" cm="1">
        <f t="array" ref="G748">_xlfn.IFS(F748&lt;30,"Young Adult",F748&lt;50,"Adult",F748&gt;=50,"Senior")</f>
        <v>Young Adult</v>
      </c>
      <c r="H748" s="4" t="s">
        <v>17</v>
      </c>
      <c r="I748" s="4">
        <v>1</v>
      </c>
      <c r="J748" s="11">
        <v>30</v>
      </c>
      <c r="K748" s="13">
        <f>I748*J748</f>
        <v>30</v>
      </c>
      <c r="L748" s="19">
        <f t="shared" si="34"/>
        <v>0.44999999999999996</v>
      </c>
      <c r="M748" s="19">
        <f t="shared" si="35"/>
        <v>0.6</v>
      </c>
      <c r="N748" s="13" cm="1">
        <f t="array" ref="N748">_xlfn.IFS(C748=2023,K748*$P$2,C748=2024,K748*$P$3)</f>
        <v>0.44999999999999996</v>
      </c>
    </row>
    <row r="749" spans="1:14">
      <c r="A749" s="2">
        <v>748</v>
      </c>
      <c r="B749" s="3">
        <v>45005</v>
      </c>
      <c r="C749" s="4">
        <f t="shared" si="33"/>
        <v>2023</v>
      </c>
      <c r="D749" s="4" t="s">
        <v>795</v>
      </c>
      <c r="E749" s="4" t="s">
        <v>16</v>
      </c>
      <c r="F749" s="4">
        <v>25</v>
      </c>
      <c r="G749" s="4" t="str" cm="1">
        <f t="array" ref="G749">_xlfn.IFS(F749&lt;30,"Young Adult",F749&lt;50,"Adult",F749&gt;=50,"Senior")</f>
        <v>Young Adult</v>
      </c>
      <c r="H749" s="4" t="s">
        <v>21</v>
      </c>
      <c r="I749" s="4">
        <v>3</v>
      </c>
      <c r="J749" s="11">
        <v>50</v>
      </c>
      <c r="K749" s="13">
        <f>I749*J749</f>
        <v>150</v>
      </c>
      <c r="L749" s="19">
        <f t="shared" si="34"/>
        <v>2.25</v>
      </c>
      <c r="M749" s="19">
        <f t="shared" si="35"/>
        <v>3</v>
      </c>
      <c r="N749" s="13" cm="1">
        <f t="array" ref="N749">_xlfn.IFS(C749=2023,K749*$P$2,C749=2024,K749*$P$3)</f>
        <v>2.25</v>
      </c>
    </row>
    <row r="750" spans="1:14">
      <c r="A750" s="2">
        <v>749</v>
      </c>
      <c r="B750" s="3">
        <v>45049</v>
      </c>
      <c r="C750" s="4">
        <f t="shared" si="33"/>
        <v>2023</v>
      </c>
      <c r="D750" s="4" t="s">
        <v>796</v>
      </c>
      <c r="E750" s="4" t="s">
        <v>16</v>
      </c>
      <c r="F750" s="4">
        <v>42</v>
      </c>
      <c r="G750" s="4" t="str" cm="1">
        <f t="array" ref="G750">_xlfn.IFS(F750&lt;30,"Young Adult",F750&lt;50,"Adult",F750&gt;=50,"Senior")</f>
        <v>Adult</v>
      </c>
      <c r="H750" s="4" t="s">
        <v>17</v>
      </c>
      <c r="I750" s="4">
        <v>1</v>
      </c>
      <c r="J750" s="11">
        <v>30</v>
      </c>
      <c r="K750" s="13">
        <f>I750*J750</f>
        <v>30</v>
      </c>
      <c r="L750" s="19">
        <f t="shared" si="34"/>
        <v>0.44999999999999996</v>
      </c>
      <c r="M750" s="19">
        <f t="shared" si="35"/>
        <v>0.6</v>
      </c>
      <c r="N750" s="13" cm="1">
        <f t="array" ref="N750">_xlfn.IFS(C750=2023,K750*$P$2,C750=2024,K750*$P$3)</f>
        <v>0.44999999999999996</v>
      </c>
    </row>
    <row r="751" spans="1:14">
      <c r="A751" s="2">
        <v>750</v>
      </c>
      <c r="B751" s="3">
        <v>44991</v>
      </c>
      <c r="C751" s="4">
        <f t="shared" si="33"/>
        <v>2023</v>
      </c>
      <c r="D751" s="4" t="s">
        <v>797</v>
      </c>
      <c r="E751" s="4" t="s">
        <v>20</v>
      </c>
      <c r="F751" s="4">
        <v>35</v>
      </c>
      <c r="G751" s="4" t="str" cm="1">
        <f t="array" ref="G751">_xlfn.IFS(F751&lt;30,"Young Adult",F751&lt;50,"Adult",F751&gt;=50,"Senior")</f>
        <v>Adult</v>
      </c>
      <c r="H751" s="4" t="s">
        <v>21</v>
      </c>
      <c r="I751" s="4">
        <v>3</v>
      </c>
      <c r="J751" s="11">
        <v>25</v>
      </c>
      <c r="K751" s="13">
        <f>I751*J751</f>
        <v>75</v>
      </c>
      <c r="L751" s="19">
        <f t="shared" si="34"/>
        <v>1.125</v>
      </c>
      <c r="M751" s="19">
        <f t="shared" si="35"/>
        <v>1.5</v>
      </c>
      <c r="N751" s="13" cm="1">
        <f t="array" ref="N751">_xlfn.IFS(C751=2023,K751*$P$2,C751=2024,K751*$P$3)</f>
        <v>1.125</v>
      </c>
    </row>
    <row r="752" spans="1:14">
      <c r="A752" s="2">
        <v>751</v>
      </c>
      <c r="B752" s="3">
        <v>45169</v>
      </c>
      <c r="C752" s="4">
        <f t="shared" si="33"/>
        <v>2023</v>
      </c>
      <c r="D752" s="4" t="s">
        <v>798</v>
      </c>
      <c r="E752" s="4" t="s">
        <v>20</v>
      </c>
      <c r="F752" s="4">
        <v>42</v>
      </c>
      <c r="G752" s="4" t="str" cm="1">
        <f t="array" ref="G752">_xlfn.IFS(F752&lt;30,"Young Adult",F752&lt;50,"Adult",F752&gt;=50,"Senior")</f>
        <v>Adult</v>
      </c>
      <c r="H752" s="4" t="s">
        <v>21</v>
      </c>
      <c r="I752" s="4">
        <v>2</v>
      </c>
      <c r="J752" s="11">
        <v>25</v>
      </c>
      <c r="K752" s="13">
        <f>I752*J752</f>
        <v>50</v>
      </c>
      <c r="L752" s="19">
        <f t="shared" si="34"/>
        <v>0.75</v>
      </c>
      <c r="M752" s="19">
        <f t="shared" si="35"/>
        <v>1</v>
      </c>
      <c r="N752" s="13" cm="1">
        <f t="array" ref="N752">_xlfn.IFS(C752=2023,K752*$P$2,C752=2024,K752*$P$3)</f>
        <v>0.75</v>
      </c>
    </row>
    <row r="753" spans="1:14">
      <c r="A753" s="2">
        <v>752</v>
      </c>
      <c r="B753" s="3">
        <v>45269</v>
      </c>
      <c r="C753" s="4">
        <f t="shared" si="33"/>
        <v>2023</v>
      </c>
      <c r="D753" s="4" t="s">
        <v>799</v>
      </c>
      <c r="E753" s="4" t="s">
        <v>16</v>
      </c>
      <c r="F753" s="4">
        <v>29</v>
      </c>
      <c r="G753" s="4" t="str" cm="1">
        <f t="array" ref="G753">_xlfn.IFS(F753&lt;30,"Young Adult",F753&lt;50,"Adult",F753&gt;=50,"Senior")</f>
        <v>Young Adult</v>
      </c>
      <c r="H753" s="4" t="s">
        <v>21</v>
      </c>
      <c r="I753" s="4">
        <v>2</v>
      </c>
      <c r="J753" s="11">
        <v>50</v>
      </c>
      <c r="K753" s="13">
        <f>I753*J753</f>
        <v>100</v>
      </c>
      <c r="L753" s="19">
        <f t="shared" si="34"/>
        <v>1.5</v>
      </c>
      <c r="M753" s="19">
        <f t="shared" si="35"/>
        <v>2</v>
      </c>
      <c r="N753" s="13" cm="1">
        <f t="array" ref="N753">_xlfn.IFS(C753=2023,K753*$P$2,C753=2024,K753*$P$3)</f>
        <v>1.5</v>
      </c>
    </row>
    <row r="754" spans="1:14">
      <c r="A754" s="2">
        <v>753</v>
      </c>
      <c r="B754" s="3">
        <v>44985</v>
      </c>
      <c r="C754" s="4">
        <f t="shared" si="33"/>
        <v>2023</v>
      </c>
      <c r="D754" s="4" t="s">
        <v>800</v>
      </c>
      <c r="E754" s="4" t="s">
        <v>20</v>
      </c>
      <c r="F754" s="4">
        <v>32</v>
      </c>
      <c r="G754" s="4" t="str" cm="1">
        <f t="array" ref="G754">_xlfn.IFS(F754&lt;30,"Young Adult",F754&lt;50,"Adult",F754&gt;=50,"Senior")</f>
        <v>Adult</v>
      </c>
      <c r="H754" s="4" t="s">
        <v>21</v>
      </c>
      <c r="I754" s="4">
        <v>1</v>
      </c>
      <c r="J754" s="11">
        <v>30</v>
      </c>
      <c r="K754" s="13">
        <f>I754*J754</f>
        <v>30</v>
      </c>
      <c r="L754" s="19">
        <f t="shared" si="34"/>
        <v>0.44999999999999996</v>
      </c>
      <c r="M754" s="19">
        <f t="shared" si="35"/>
        <v>0.6</v>
      </c>
      <c r="N754" s="13" cm="1">
        <f t="array" ref="N754">_xlfn.IFS(C754=2023,K754*$P$2,C754=2024,K754*$P$3)</f>
        <v>0.44999999999999996</v>
      </c>
    </row>
    <row r="755" spans="1:14">
      <c r="A755" s="2">
        <v>754</v>
      </c>
      <c r="B755" s="3">
        <v>45215</v>
      </c>
      <c r="C755" s="4">
        <f t="shared" si="33"/>
        <v>2023</v>
      </c>
      <c r="D755" s="4" t="s">
        <v>801</v>
      </c>
      <c r="E755" s="4" t="s">
        <v>20</v>
      </c>
      <c r="F755" s="4">
        <v>43</v>
      </c>
      <c r="G755" s="4" t="str" cm="1">
        <f t="array" ref="G755">_xlfn.IFS(F755&lt;30,"Young Adult",F755&lt;50,"Adult",F755&gt;=50,"Senior")</f>
        <v>Adult</v>
      </c>
      <c r="H755" s="4" t="s">
        <v>24</v>
      </c>
      <c r="I755" s="4">
        <v>4</v>
      </c>
      <c r="J755" s="11">
        <v>25</v>
      </c>
      <c r="K755" s="13">
        <f>I755*J755</f>
        <v>100</v>
      </c>
      <c r="L755" s="19">
        <f t="shared" si="34"/>
        <v>1.5</v>
      </c>
      <c r="M755" s="19">
        <f t="shared" si="35"/>
        <v>2</v>
      </c>
      <c r="N755" s="13" cm="1">
        <f t="array" ref="N755">_xlfn.IFS(C755=2023,K755*$P$2,C755=2024,K755*$P$3)</f>
        <v>1.5</v>
      </c>
    </row>
    <row r="756" spans="1:14">
      <c r="A756" s="2">
        <v>755</v>
      </c>
      <c r="B756" s="3">
        <v>45038</v>
      </c>
      <c r="C756" s="4">
        <f t="shared" si="33"/>
        <v>2023</v>
      </c>
      <c r="D756" s="4" t="s">
        <v>802</v>
      </c>
      <c r="E756" s="4" t="s">
        <v>20</v>
      </c>
      <c r="F756" s="4">
        <v>58</v>
      </c>
      <c r="G756" s="4" t="str" cm="1">
        <f t="array" ref="G756">_xlfn.IFS(F756&lt;30,"Young Adult",F756&lt;50,"Adult",F756&gt;=50,"Senior")</f>
        <v>Senior</v>
      </c>
      <c r="H756" s="4" t="s">
        <v>21</v>
      </c>
      <c r="I756" s="4">
        <v>3</v>
      </c>
      <c r="J756" s="11">
        <v>25</v>
      </c>
      <c r="K756" s="13">
        <f>I756*J756</f>
        <v>75</v>
      </c>
      <c r="L756" s="19">
        <f t="shared" si="34"/>
        <v>1.125</v>
      </c>
      <c r="M756" s="19">
        <f t="shared" si="35"/>
        <v>1.5</v>
      </c>
      <c r="N756" s="13" cm="1">
        <f t="array" ref="N756">_xlfn.IFS(C756=2023,K756*$P$2,C756=2024,K756*$P$3)</f>
        <v>1.125</v>
      </c>
    </row>
    <row r="757" spans="1:14">
      <c r="A757" s="2">
        <v>756</v>
      </c>
      <c r="B757" s="3">
        <v>45165</v>
      </c>
      <c r="C757" s="4">
        <f t="shared" si="33"/>
        <v>2023</v>
      </c>
      <c r="D757" s="4" t="s">
        <v>803</v>
      </c>
      <c r="E757" s="4" t="s">
        <v>20</v>
      </c>
      <c r="F757" s="4">
        <v>62</v>
      </c>
      <c r="G757" s="4" t="str" cm="1">
        <f t="array" ref="G757">_xlfn.IFS(F757&lt;30,"Young Adult",F757&lt;50,"Adult",F757&gt;=50,"Senior")</f>
        <v>Senior</v>
      </c>
      <c r="H757" s="4" t="s">
        <v>24</v>
      </c>
      <c r="I757" s="4">
        <v>4</v>
      </c>
      <c r="J757" s="11">
        <v>300</v>
      </c>
      <c r="K757" s="13">
        <f>I757*J757</f>
        <v>1200</v>
      </c>
      <c r="L757" s="19">
        <f t="shared" si="34"/>
        <v>18</v>
      </c>
      <c r="M757" s="19">
        <f t="shared" si="35"/>
        <v>24</v>
      </c>
      <c r="N757" s="13" cm="1">
        <f t="array" ref="N757">_xlfn.IFS(C757=2023,K757*$P$2,C757=2024,K757*$P$3)</f>
        <v>18</v>
      </c>
    </row>
    <row r="758" spans="1:14">
      <c r="A758" s="2">
        <v>757</v>
      </c>
      <c r="B758" s="3">
        <v>45285</v>
      </c>
      <c r="C758" s="4">
        <f t="shared" si="33"/>
        <v>2023</v>
      </c>
      <c r="D758" s="4" t="s">
        <v>804</v>
      </c>
      <c r="E758" s="4" t="s">
        <v>20</v>
      </c>
      <c r="F758" s="4">
        <v>43</v>
      </c>
      <c r="G758" s="4" t="str" cm="1">
        <f t="array" ref="G758">_xlfn.IFS(F758&lt;30,"Young Adult",F758&lt;50,"Adult",F758&gt;=50,"Senior")</f>
        <v>Adult</v>
      </c>
      <c r="H758" s="4" t="s">
        <v>24</v>
      </c>
      <c r="I758" s="4">
        <v>4</v>
      </c>
      <c r="J758" s="11">
        <v>300</v>
      </c>
      <c r="K758" s="13">
        <f>I758*J758</f>
        <v>1200</v>
      </c>
      <c r="L758" s="19">
        <f t="shared" si="34"/>
        <v>18</v>
      </c>
      <c r="M758" s="19">
        <f t="shared" si="35"/>
        <v>24</v>
      </c>
      <c r="N758" s="13" cm="1">
        <f t="array" ref="N758">_xlfn.IFS(C758=2023,K758*$P$2,C758=2024,K758*$P$3)</f>
        <v>18</v>
      </c>
    </row>
    <row r="759" spans="1:14">
      <c r="A759" s="2">
        <v>758</v>
      </c>
      <c r="B759" s="3">
        <v>45058</v>
      </c>
      <c r="C759" s="4">
        <f t="shared" si="33"/>
        <v>2023</v>
      </c>
      <c r="D759" s="4" t="s">
        <v>805</v>
      </c>
      <c r="E759" s="4" t="s">
        <v>16</v>
      </c>
      <c r="F759" s="4">
        <v>64</v>
      </c>
      <c r="G759" s="4" t="str" cm="1">
        <f t="array" ref="G759">_xlfn.IFS(F759&lt;30,"Young Adult",F759&lt;50,"Adult",F759&gt;=50,"Senior")</f>
        <v>Senior</v>
      </c>
      <c r="H759" s="4" t="s">
        <v>21</v>
      </c>
      <c r="I759" s="4">
        <v>4</v>
      </c>
      <c r="J759" s="11">
        <v>25</v>
      </c>
      <c r="K759" s="13">
        <f>I759*J759</f>
        <v>100</v>
      </c>
      <c r="L759" s="19">
        <f t="shared" si="34"/>
        <v>1.5</v>
      </c>
      <c r="M759" s="19">
        <f t="shared" si="35"/>
        <v>2</v>
      </c>
      <c r="N759" s="13" cm="1">
        <f t="array" ref="N759">_xlfn.IFS(C759=2023,K759*$P$2,C759=2024,K759*$P$3)</f>
        <v>1.5</v>
      </c>
    </row>
    <row r="760" spans="1:14">
      <c r="A760" s="2">
        <v>759</v>
      </c>
      <c r="B760" s="3">
        <v>45115</v>
      </c>
      <c r="C760" s="4">
        <f t="shared" si="33"/>
        <v>2023</v>
      </c>
      <c r="D760" s="4" t="s">
        <v>806</v>
      </c>
      <c r="E760" s="4" t="s">
        <v>16</v>
      </c>
      <c r="F760" s="4">
        <v>49</v>
      </c>
      <c r="G760" s="4" t="str" cm="1">
        <f t="array" ref="G760">_xlfn.IFS(F760&lt;30,"Young Adult",F760&lt;50,"Adult",F760&gt;=50,"Senior")</f>
        <v>Adult</v>
      </c>
      <c r="H760" s="4" t="s">
        <v>24</v>
      </c>
      <c r="I760" s="4">
        <v>2</v>
      </c>
      <c r="J760" s="11">
        <v>50</v>
      </c>
      <c r="K760" s="13">
        <f>I760*J760</f>
        <v>100</v>
      </c>
      <c r="L760" s="19">
        <f t="shared" si="34"/>
        <v>1.5</v>
      </c>
      <c r="M760" s="19">
        <f t="shared" si="35"/>
        <v>2</v>
      </c>
      <c r="N760" s="13" cm="1">
        <f t="array" ref="N760">_xlfn.IFS(C760=2023,K760*$P$2,C760=2024,K760*$P$3)</f>
        <v>1.5</v>
      </c>
    </row>
    <row r="761" spans="1:14">
      <c r="A761" s="2">
        <v>760</v>
      </c>
      <c r="B761" s="3">
        <v>45012</v>
      </c>
      <c r="C761" s="4">
        <f t="shared" si="33"/>
        <v>2023</v>
      </c>
      <c r="D761" s="4" t="s">
        <v>807</v>
      </c>
      <c r="E761" s="4" t="s">
        <v>16</v>
      </c>
      <c r="F761" s="4">
        <v>27</v>
      </c>
      <c r="G761" s="4" t="str" cm="1">
        <f t="array" ref="G761">_xlfn.IFS(F761&lt;30,"Young Adult",F761&lt;50,"Adult",F761&gt;=50,"Senior")</f>
        <v>Young Adult</v>
      </c>
      <c r="H761" s="4" t="s">
        <v>17</v>
      </c>
      <c r="I761" s="4">
        <v>1</v>
      </c>
      <c r="J761" s="11">
        <v>500</v>
      </c>
      <c r="K761" s="13">
        <f>I761*J761</f>
        <v>500</v>
      </c>
      <c r="L761" s="19">
        <f t="shared" si="34"/>
        <v>7.5</v>
      </c>
      <c r="M761" s="19">
        <f t="shared" si="35"/>
        <v>10</v>
      </c>
      <c r="N761" s="13" cm="1">
        <f t="array" ref="N761">_xlfn.IFS(C761=2023,K761*$P$2,C761=2024,K761*$P$3)</f>
        <v>7.5</v>
      </c>
    </row>
    <row r="762" spans="1:14">
      <c r="A762" s="2">
        <v>761</v>
      </c>
      <c r="B762" s="3">
        <v>45237</v>
      </c>
      <c r="C762" s="4">
        <f t="shared" si="33"/>
        <v>2023</v>
      </c>
      <c r="D762" s="4" t="s">
        <v>808</v>
      </c>
      <c r="E762" s="4" t="s">
        <v>20</v>
      </c>
      <c r="F762" s="4">
        <v>33</v>
      </c>
      <c r="G762" s="4" t="str" cm="1">
        <f t="array" ref="G762">_xlfn.IFS(F762&lt;30,"Young Adult",F762&lt;50,"Adult",F762&gt;=50,"Senior")</f>
        <v>Adult</v>
      </c>
      <c r="H762" s="4" t="s">
        <v>21</v>
      </c>
      <c r="I762" s="4">
        <v>1</v>
      </c>
      <c r="J762" s="11">
        <v>500</v>
      </c>
      <c r="K762" s="13">
        <f>I762*J762</f>
        <v>500</v>
      </c>
      <c r="L762" s="19">
        <f t="shared" si="34"/>
        <v>7.5</v>
      </c>
      <c r="M762" s="19">
        <f t="shared" si="35"/>
        <v>10</v>
      </c>
      <c r="N762" s="13" cm="1">
        <f t="array" ref="N762">_xlfn.IFS(C762=2023,K762*$P$2,C762=2024,K762*$P$3)</f>
        <v>7.5</v>
      </c>
    </row>
    <row r="763" spans="1:14">
      <c r="A763" s="2">
        <v>762</v>
      </c>
      <c r="B763" s="3">
        <v>45237</v>
      </c>
      <c r="C763" s="4">
        <f t="shared" si="33"/>
        <v>2023</v>
      </c>
      <c r="D763" s="4" t="s">
        <v>809</v>
      </c>
      <c r="E763" s="4" t="s">
        <v>20</v>
      </c>
      <c r="F763" s="4">
        <v>24</v>
      </c>
      <c r="G763" s="4" t="str" cm="1">
        <f t="array" ref="G763">_xlfn.IFS(F763&lt;30,"Young Adult",F763&lt;50,"Adult",F763&gt;=50,"Senior")</f>
        <v>Young Adult</v>
      </c>
      <c r="H763" s="4" t="s">
        <v>24</v>
      </c>
      <c r="I763" s="4">
        <v>2</v>
      </c>
      <c r="J763" s="11">
        <v>25</v>
      </c>
      <c r="K763" s="13">
        <f>I763*J763</f>
        <v>50</v>
      </c>
      <c r="L763" s="19">
        <f t="shared" si="34"/>
        <v>0.75</v>
      </c>
      <c r="M763" s="19">
        <f t="shared" si="35"/>
        <v>1</v>
      </c>
      <c r="N763" s="13" cm="1">
        <f t="array" ref="N763">_xlfn.IFS(C763=2023,K763*$P$2,C763=2024,K763*$P$3)</f>
        <v>0.75</v>
      </c>
    </row>
    <row r="764" spans="1:14">
      <c r="A764" s="2">
        <v>763</v>
      </c>
      <c r="B764" s="3">
        <v>44985</v>
      </c>
      <c r="C764" s="4">
        <f t="shared" si="33"/>
        <v>2023</v>
      </c>
      <c r="D764" s="4" t="s">
        <v>810</v>
      </c>
      <c r="E764" s="4" t="s">
        <v>16</v>
      </c>
      <c r="F764" s="4">
        <v>34</v>
      </c>
      <c r="G764" s="4" t="str" cm="1">
        <f t="array" ref="G764">_xlfn.IFS(F764&lt;30,"Young Adult",F764&lt;50,"Adult",F764&gt;=50,"Senior")</f>
        <v>Adult</v>
      </c>
      <c r="H764" s="4" t="s">
        <v>21</v>
      </c>
      <c r="I764" s="4">
        <v>2</v>
      </c>
      <c r="J764" s="11">
        <v>25</v>
      </c>
      <c r="K764" s="13">
        <f>I764*J764</f>
        <v>50</v>
      </c>
      <c r="L764" s="19">
        <f t="shared" si="34"/>
        <v>0.75</v>
      </c>
      <c r="M764" s="19">
        <f t="shared" si="35"/>
        <v>1</v>
      </c>
      <c r="N764" s="13" cm="1">
        <f t="array" ref="N764">_xlfn.IFS(C764=2023,K764*$P$2,C764=2024,K764*$P$3)</f>
        <v>0.75</v>
      </c>
    </row>
    <row r="765" spans="1:14">
      <c r="A765" s="2">
        <v>764</v>
      </c>
      <c r="B765" s="3">
        <v>45010</v>
      </c>
      <c r="C765" s="4">
        <f t="shared" si="33"/>
        <v>2023</v>
      </c>
      <c r="D765" s="4" t="s">
        <v>811</v>
      </c>
      <c r="E765" s="4" t="s">
        <v>20</v>
      </c>
      <c r="F765" s="4">
        <v>40</v>
      </c>
      <c r="G765" s="4" t="str" cm="1">
        <f t="array" ref="G765">_xlfn.IFS(F765&lt;30,"Young Adult",F765&lt;50,"Adult",F765&gt;=50,"Senior")</f>
        <v>Adult</v>
      </c>
      <c r="H765" s="4" t="s">
        <v>21</v>
      </c>
      <c r="I765" s="4">
        <v>1</v>
      </c>
      <c r="J765" s="11">
        <v>25</v>
      </c>
      <c r="K765" s="13">
        <f>I765*J765</f>
        <v>25</v>
      </c>
      <c r="L765" s="19">
        <f t="shared" si="34"/>
        <v>0.375</v>
      </c>
      <c r="M765" s="19">
        <f t="shared" si="35"/>
        <v>0.5</v>
      </c>
      <c r="N765" s="13" cm="1">
        <f t="array" ref="N765">_xlfn.IFS(C765=2023,K765*$P$2,C765=2024,K765*$P$3)</f>
        <v>0.375</v>
      </c>
    </row>
    <row r="766" spans="1:14">
      <c r="A766" s="2">
        <v>765</v>
      </c>
      <c r="B766" s="3">
        <v>45086</v>
      </c>
      <c r="C766" s="4">
        <f t="shared" si="33"/>
        <v>2023</v>
      </c>
      <c r="D766" s="4" t="s">
        <v>812</v>
      </c>
      <c r="E766" s="4" t="s">
        <v>16</v>
      </c>
      <c r="F766" s="4">
        <v>43</v>
      </c>
      <c r="G766" s="4" t="str" cm="1">
        <f t="array" ref="G766">_xlfn.IFS(F766&lt;30,"Young Adult",F766&lt;50,"Adult",F766&gt;=50,"Senior")</f>
        <v>Adult</v>
      </c>
      <c r="H766" s="4" t="s">
        <v>21</v>
      </c>
      <c r="I766" s="4">
        <v>4</v>
      </c>
      <c r="J766" s="11">
        <v>50</v>
      </c>
      <c r="K766" s="13">
        <f>I766*J766</f>
        <v>200</v>
      </c>
      <c r="L766" s="19">
        <f t="shared" si="34"/>
        <v>3</v>
      </c>
      <c r="M766" s="19">
        <f t="shared" si="35"/>
        <v>4</v>
      </c>
      <c r="N766" s="13" cm="1">
        <f t="array" ref="N766">_xlfn.IFS(C766=2023,K766*$P$2,C766=2024,K766*$P$3)</f>
        <v>3</v>
      </c>
    </row>
    <row r="767" spans="1:14">
      <c r="A767" s="2">
        <v>766</v>
      </c>
      <c r="B767" s="3">
        <v>44982</v>
      </c>
      <c r="C767" s="4">
        <f t="shared" si="33"/>
        <v>2023</v>
      </c>
      <c r="D767" s="4" t="s">
        <v>813</v>
      </c>
      <c r="E767" s="4" t="s">
        <v>16</v>
      </c>
      <c r="F767" s="4">
        <v>38</v>
      </c>
      <c r="G767" s="4" t="str" cm="1">
        <f t="array" ref="G767">_xlfn.IFS(F767&lt;30,"Young Adult",F767&lt;50,"Adult",F767&gt;=50,"Senior")</f>
        <v>Adult</v>
      </c>
      <c r="H767" s="4" t="s">
        <v>24</v>
      </c>
      <c r="I767" s="4">
        <v>3</v>
      </c>
      <c r="J767" s="11">
        <v>300</v>
      </c>
      <c r="K767" s="13">
        <f>I767*J767</f>
        <v>900</v>
      </c>
      <c r="L767" s="19">
        <f t="shared" si="34"/>
        <v>13.5</v>
      </c>
      <c r="M767" s="19">
        <f t="shared" si="35"/>
        <v>18</v>
      </c>
      <c r="N767" s="13" cm="1">
        <f t="array" ref="N767">_xlfn.IFS(C767=2023,K767*$P$2,C767=2024,K767*$P$3)</f>
        <v>13.5</v>
      </c>
    </row>
    <row r="768" spans="1:14">
      <c r="A768" s="2">
        <v>767</v>
      </c>
      <c r="B768" s="3">
        <v>45223</v>
      </c>
      <c r="C768" s="4">
        <f t="shared" si="33"/>
        <v>2023</v>
      </c>
      <c r="D768" s="4" t="s">
        <v>814</v>
      </c>
      <c r="E768" s="4" t="s">
        <v>16</v>
      </c>
      <c r="F768" s="4">
        <v>39</v>
      </c>
      <c r="G768" s="4" t="str" cm="1">
        <f t="array" ref="G768">_xlfn.IFS(F768&lt;30,"Young Adult",F768&lt;50,"Adult",F768&gt;=50,"Senior")</f>
        <v>Adult</v>
      </c>
      <c r="H768" s="4" t="s">
        <v>17</v>
      </c>
      <c r="I768" s="4">
        <v>3</v>
      </c>
      <c r="J768" s="11">
        <v>25</v>
      </c>
      <c r="K768" s="13">
        <f>I768*J768</f>
        <v>75</v>
      </c>
      <c r="L768" s="19">
        <f t="shared" si="34"/>
        <v>1.125</v>
      </c>
      <c r="M768" s="19">
        <f t="shared" si="35"/>
        <v>1.5</v>
      </c>
      <c r="N768" s="13" cm="1">
        <f t="array" ref="N768">_xlfn.IFS(C768=2023,K768*$P$2,C768=2024,K768*$P$3)</f>
        <v>1.125</v>
      </c>
    </row>
    <row r="769" spans="1:14">
      <c r="A769" s="2">
        <v>768</v>
      </c>
      <c r="B769" s="3">
        <v>44940</v>
      </c>
      <c r="C769" s="4">
        <f t="shared" si="33"/>
        <v>2023</v>
      </c>
      <c r="D769" s="4" t="s">
        <v>815</v>
      </c>
      <c r="E769" s="4" t="s">
        <v>20</v>
      </c>
      <c r="F769" s="4">
        <v>24</v>
      </c>
      <c r="G769" s="4" t="str" cm="1">
        <f t="array" ref="G769">_xlfn.IFS(F769&lt;30,"Young Adult",F769&lt;50,"Adult",F769&gt;=50,"Senior")</f>
        <v>Young Adult</v>
      </c>
      <c r="H769" s="4" t="s">
        <v>17</v>
      </c>
      <c r="I769" s="4">
        <v>3</v>
      </c>
      <c r="J769" s="11">
        <v>25</v>
      </c>
      <c r="K769" s="13">
        <f>I769*J769</f>
        <v>75</v>
      </c>
      <c r="L769" s="19">
        <f t="shared" si="34"/>
        <v>1.125</v>
      </c>
      <c r="M769" s="19">
        <f t="shared" si="35"/>
        <v>1.5</v>
      </c>
      <c r="N769" s="13" cm="1">
        <f t="array" ref="N769">_xlfn.IFS(C769=2023,K769*$P$2,C769=2024,K769*$P$3)</f>
        <v>1.125</v>
      </c>
    </row>
    <row r="770" spans="1:14">
      <c r="A770" s="2">
        <v>769</v>
      </c>
      <c r="B770" s="3">
        <v>45086</v>
      </c>
      <c r="C770" s="4">
        <f t="shared" si="33"/>
        <v>2023</v>
      </c>
      <c r="D770" s="4" t="s">
        <v>816</v>
      </c>
      <c r="E770" s="4" t="s">
        <v>20</v>
      </c>
      <c r="F770" s="4">
        <v>31</v>
      </c>
      <c r="G770" s="4" t="str" cm="1">
        <f t="array" ref="G770">_xlfn.IFS(F770&lt;30,"Young Adult",F770&lt;50,"Adult",F770&gt;=50,"Senior")</f>
        <v>Adult</v>
      </c>
      <c r="H770" s="4" t="s">
        <v>24</v>
      </c>
      <c r="I770" s="4">
        <v>4</v>
      </c>
      <c r="J770" s="11">
        <v>30</v>
      </c>
      <c r="K770" s="13">
        <f>I770*J770</f>
        <v>120</v>
      </c>
      <c r="L770" s="19">
        <f t="shared" si="34"/>
        <v>1.7999999999999998</v>
      </c>
      <c r="M770" s="19">
        <f t="shared" si="35"/>
        <v>2.4</v>
      </c>
      <c r="N770" s="13" cm="1">
        <f t="array" ref="N770">_xlfn.IFS(C770=2023,K770*$P$2,C770=2024,K770*$P$3)</f>
        <v>1.7999999999999998</v>
      </c>
    </row>
    <row r="771" spans="1:14">
      <c r="A771" s="2">
        <v>770</v>
      </c>
      <c r="B771" s="3">
        <v>45221</v>
      </c>
      <c r="C771" s="4">
        <f t="shared" ref="C771:C834" si="36">YEAR(B771)</f>
        <v>2023</v>
      </c>
      <c r="D771" s="4" t="s">
        <v>817</v>
      </c>
      <c r="E771" s="4" t="s">
        <v>16</v>
      </c>
      <c r="F771" s="4">
        <v>32</v>
      </c>
      <c r="G771" s="4" t="str" cm="1">
        <f t="array" ref="G771">_xlfn.IFS(F771&lt;30,"Young Adult",F771&lt;50,"Adult",F771&gt;=50,"Senior")</f>
        <v>Adult</v>
      </c>
      <c r="H771" s="4" t="s">
        <v>21</v>
      </c>
      <c r="I771" s="4">
        <v>1</v>
      </c>
      <c r="J771" s="11">
        <v>50</v>
      </c>
      <c r="K771" s="13">
        <f>I771*J771</f>
        <v>50</v>
      </c>
      <c r="L771" s="19">
        <f t="shared" ref="L771:L834" si="37">K771*$P$2</f>
        <v>0.75</v>
      </c>
      <c r="M771" s="19">
        <f t="shared" ref="M771:M834" si="38">K771*$P$3</f>
        <v>1</v>
      </c>
      <c r="N771" s="13" cm="1">
        <f t="array" ref="N771">_xlfn.IFS(C771=2023,K771*$P$2,C771=2024,K771*$P$3)</f>
        <v>0.75</v>
      </c>
    </row>
    <row r="772" spans="1:14">
      <c r="A772" s="2">
        <v>771</v>
      </c>
      <c r="B772" s="3">
        <v>45273</v>
      </c>
      <c r="C772" s="4">
        <f t="shared" si="36"/>
        <v>2023</v>
      </c>
      <c r="D772" s="4" t="s">
        <v>818</v>
      </c>
      <c r="E772" s="4" t="s">
        <v>16</v>
      </c>
      <c r="F772" s="4">
        <v>24</v>
      </c>
      <c r="G772" s="4" t="str" cm="1">
        <f t="array" ref="G772">_xlfn.IFS(F772&lt;30,"Young Adult",F772&lt;50,"Adult",F772&gt;=50,"Senior")</f>
        <v>Young Adult</v>
      </c>
      <c r="H772" s="4" t="s">
        <v>24</v>
      </c>
      <c r="I772" s="4">
        <v>2</v>
      </c>
      <c r="J772" s="11">
        <v>25</v>
      </c>
      <c r="K772" s="13">
        <f>I772*J772</f>
        <v>50</v>
      </c>
      <c r="L772" s="19">
        <f t="shared" si="37"/>
        <v>0.75</v>
      </c>
      <c r="M772" s="19">
        <f t="shared" si="38"/>
        <v>1</v>
      </c>
      <c r="N772" s="13" cm="1">
        <f t="array" ref="N772">_xlfn.IFS(C772=2023,K772*$P$2,C772=2024,K772*$P$3)</f>
        <v>0.75</v>
      </c>
    </row>
    <row r="773" spans="1:14">
      <c r="A773" s="2">
        <v>772</v>
      </c>
      <c r="B773" s="3">
        <v>45119</v>
      </c>
      <c r="C773" s="4">
        <f t="shared" si="36"/>
        <v>2023</v>
      </c>
      <c r="D773" s="4" t="s">
        <v>819</v>
      </c>
      <c r="E773" s="4" t="s">
        <v>16</v>
      </c>
      <c r="F773" s="4">
        <v>26</v>
      </c>
      <c r="G773" s="4" t="str" cm="1">
        <f t="array" ref="G773">_xlfn.IFS(F773&lt;30,"Young Adult",F773&lt;50,"Adult",F773&gt;=50,"Senior")</f>
        <v>Young Adult</v>
      </c>
      <c r="H773" s="4" t="s">
        <v>24</v>
      </c>
      <c r="I773" s="4">
        <v>1</v>
      </c>
      <c r="J773" s="11">
        <v>30</v>
      </c>
      <c r="K773" s="13">
        <f>I773*J773</f>
        <v>30</v>
      </c>
      <c r="L773" s="19">
        <f t="shared" si="37"/>
        <v>0.44999999999999996</v>
      </c>
      <c r="M773" s="19">
        <f t="shared" si="38"/>
        <v>0.6</v>
      </c>
      <c r="N773" s="13" cm="1">
        <f t="array" ref="N773">_xlfn.IFS(C773=2023,K773*$P$2,C773=2024,K773*$P$3)</f>
        <v>0.44999999999999996</v>
      </c>
    </row>
    <row r="774" spans="1:14">
      <c r="A774" s="2">
        <v>773</v>
      </c>
      <c r="B774" s="3">
        <v>45130</v>
      </c>
      <c r="C774" s="4">
        <f t="shared" si="36"/>
        <v>2023</v>
      </c>
      <c r="D774" s="4" t="s">
        <v>820</v>
      </c>
      <c r="E774" s="4" t="s">
        <v>16</v>
      </c>
      <c r="F774" s="4">
        <v>25</v>
      </c>
      <c r="G774" s="4" t="str" cm="1">
        <f t="array" ref="G774">_xlfn.IFS(F774&lt;30,"Young Adult",F774&lt;50,"Adult",F774&gt;=50,"Senior")</f>
        <v>Young Adult</v>
      </c>
      <c r="H774" s="4" t="s">
        <v>24</v>
      </c>
      <c r="I774" s="4">
        <v>4</v>
      </c>
      <c r="J774" s="11">
        <v>500</v>
      </c>
      <c r="K774" s="13">
        <f>I774*J774</f>
        <v>2000</v>
      </c>
      <c r="L774" s="19">
        <f t="shared" si="37"/>
        <v>30</v>
      </c>
      <c r="M774" s="19">
        <f t="shared" si="38"/>
        <v>40</v>
      </c>
      <c r="N774" s="13" cm="1">
        <f t="array" ref="N774">_xlfn.IFS(C774=2023,K774*$P$2,C774=2024,K774*$P$3)</f>
        <v>30</v>
      </c>
    </row>
    <row r="775" spans="1:14">
      <c r="A775" s="2">
        <v>774</v>
      </c>
      <c r="B775" s="3">
        <v>45028</v>
      </c>
      <c r="C775" s="4">
        <f t="shared" si="36"/>
        <v>2023</v>
      </c>
      <c r="D775" s="4" t="s">
        <v>821</v>
      </c>
      <c r="E775" s="4" t="s">
        <v>20</v>
      </c>
      <c r="F775" s="4">
        <v>40</v>
      </c>
      <c r="G775" s="4" t="str" cm="1">
        <f t="array" ref="G775">_xlfn.IFS(F775&lt;30,"Young Adult",F775&lt;50,"Adult",F775&gt;=50,"Senior")</f>
        <v>Adult</v>
      </c>
      <c r="H775" s="4" t="s">
        <v>21</v>
      </c>
      <c r="I775" s="4">
        <v>2</v>
      </c>
      <c r="J775" s="11">
        <v>25</v>
      </c>
      <c r="K775" s="13">
        <f>I775*J775</f>
        <v>50</v>
      </c>
      <c r="L775" s="19">
        <f t="shared" si="37"/>
        <v>0.75</v>
      </c>
      <c r="M775" s="19">
        <f t="shared" si="38"/>
        <v>1</v>
      </c>
      <c r="N775" s="13" cm="1">
        <f t="array" ref="N775">_xlfn.IFS(C775=2023,K775*$P$2,C775=2024,K775*$P$3)</f>
        <v>0.75</v>
      </c>
    </row>
    <row r="776" spans="1:14">
      <c r="A776" s="2">
        <v>775</v>
      </c>
      <c r="B776" s="3">
        <v>44965</v>
      </c>
      <c r="C776" s="4">
        <f t="shared" si="36"/>
        <v>2023</v>
      </c>
      <c r="D776" s="4" t="s">
        <v>822</v>
      </c>
      <c r="E776" s="4" t="s">
        <v>20</v>
      </c>
      <c r="F776" s="4">
        <v>46</v>
      </c>
      <c r="G776" s="4" t="str" cm="1">
        <f t="array" ref="G776">_xlfn.IFS(F776&lt;30,"Young Adult",F776&lt;50,"Adult",F776&gt;=50,"Senior")</f>
        <v>Adult</v>
      </c>
      <c r="H776" s="4" t="s">
        <v>24</v>
      </c>
      <c r="I776" s="4">
        <v>4</v>
      </c>
      <c r="J776" s="11">
        <v>25</v>
      </c>
      <c r="K776" s="13">
        <f>I776*J776</f>
        <v>100</v>
      </c>
      <c r="L776" s="19">
        <f t="shared" si="37"/>
        <v>1.5</v>
      </c>
      <c r="M776" s="19">
        <f t="shared" si="38"/>
        <v>2</v>
      </c>
      <c r="N776" s="13" cm="1">
        <f t="array" ref="N776">_xlfn.IFS(C776=2023,K776*$P$2,C776=2024,K776*$P$3)</f>
        <v>1.5</v>
      </c>
    </row>
    <row r="777" spans="1:14">
      <c r="A777" s="2">
        <v>776</v>
      </c>
      <c r="B777" s="3">
        <v>45230</v>
      </c>
      <c r="C777" s="4">
        <f t="shared" si="36"/>
        <v>2023</v>
      </c>
      <c r="D777" s="4" t="s">
        <v>823</v>
      </c>
      <c r="E777" s="4" t="s">
        <v>16</v>
      </c>
      <c r="F777" s="4">
        <v>35</v>
      </c>
      <c r="G777" s="4" t="str" cm="1">
        <f t="array" ref="G777">_xlfn.IFS(F777&lt;30,"Young Adult",F777&lt;50,"Adult",F777&gt;=50,"Senior")</f>
        <v>Adult</v>
      </c>
      <c r="H777" s="4" t="s">
        <v>21</v>
      </c>
      <c r="I777" s="4">
        <v>3</v>
      </c>
      <c r="J777" s="11">
        <v>30</v>
      </c>
      <c r="K777" s="13">
        <f>I777*J777</f>
        <v>90</v>
      </c>
      <c r="L777" s="19">
        <f t="shared" si="37"/>
        <v>1.3499999999999999</v>
      </c>
      <c r="M777" s="19">
        <f t="shared" si="38"/>
        <v>1.8</v>
      </c>
      <c r="N777" s="13" cm="1">
        <f t="array" ref="N777">_xlfn.IFS(C777=2023,K777*$P$2,C777=2024,K777*$P$3)</f>
        <v>1.3499999999999999</v>
      </c>
    </row>
    <row r="778" spans="1:14">
      <c r="A778" s="2">
        <v>777</v>
      </c>
      <c r="B778" s="3">
        <v>45280</v>
      </c>
      <c r="C778" s="4">
        <f t="shared" si="36"/>
        <v>2023</v>
      </c>
      <c r="D778" s="4" t="s">
        <v>824</v>
      </c>
      <c r="E778" s="4" t="s">
        <v>16</v>
      </c>
      <c r="F778" s="4">
        <v>48</v>
      </c>
      <c r="G778" s="4" t="str" cm="1">
        <f t="array" ref="G778">_xlfn.IFS(F778&lt;30,"Young Adult",F778&lt;50,"Adult",F778&gt;=50,"Senior")</f>
        <v>Adult</v>
      </c>
      <c r="H778" s="4" t="s">
        <v>24</v>
      </c>
      <c r="I778" s="4">
        <v>3</v>
      </c>
      <c r="J778" s="11">
        <v>50</v>
      </c>
      <c r="K778" s="13">
        <f>I778*J778</f>
        <v>150</v>
      </c>
      <c r="L778" s="19">
        <f t="shared" si="37"/>
        <v>2.25</v>
      </c>
      <c r="M778" s="19">
        <f t="shared" si="38"/>
        <v>3</v>
      </c>
      <c r="N778" s="13" cm="1">
        <f t="array" ref="N778">_xlfn.IFS(C778=2023,K778*$P$2,C778=2024,K778*$P$3)</f>
        <v>2.25</v>
      </c>
    </row>
    <row r="779" spans="1:14">
      <c r="A779" s="2">
        <v>778</v>
      </c>
      <c r="B779" s="3">
        <v>45248</v>
      </c>
      <c r="C779" s="4">
        <f t="shared" si="36"/>
        <v>2023</v>
      </c>
      <c r="D779" s="4" t="s">
        <v>825</v>
      </c>
      <c r="E779" s="4" t="s">
        <v>20</v>
      </c>
      <c r="F779" s="4">
        <v>47</v>
      </c>
      <c r="G779" s="4" t="str" cm="1">
        <f t="array" ref="G779">_xlfn.IFS(F779&lt;30,"Young Adult",F779&lt;50,"Adult",F779&gt;=50,"Senior")</f>
        <v>Adult</v>
      </c>
      <c r="H779" s="4" t="s">
        <v>17</v>
      </c>
      <c r="I779" s="4">
        <v>4</v>
      </c>
      <c r="J779" s="11">
        <v>25</v>
      </c>
      <c r="K779" s="13">
        <f>I779*J779</f>
        <v>100</v>
      </c>
      <c r="L779" s="19">
        <f t="shared" si="37"/>
        <v>1.5</v>
      </c>
      <c r="M779" s="19">
        <f t="shared" si="38"/>
        <v>2</v>
      </c>
      <c r="N779" s="13" cm="1">
        <f t="array" ref="N779">_xlfn.IFS(C779=2023,K779*$P$2,C779=2024,K779*$P$3)</f>
        <v>1.5</v>
      </c>
    </row>
    <row r="780" spans="1:14">
      <c r="A780" s="2">
        <v>779</v>
      </c>
      <c r="B780" s="3">
        <v>45051</v>
      </c>
      <c r="C780" s="4">
        <f t="shared" si="36"/>
        <v>2023</v>
      </c>
      <c r="D780" s="4" t="s">
        <v>826</v>
      </c>
      <c r="E780" s="4" t="s">
        <v>20</v>
      </c>
      <c r="F780" s="4">
        <v>56</v>
      </c>
      <c r="G780" s="4" t="str" cm="1">
        <f t="array" ref="G780">_xlfn.IFS(F780&lt;30,"Young Adult",F780&lt;50,"Adult",F780&gt;=50,"Senior")</f>
        <v>Senior</v>
      </c>
      <c r="H780" s="4" t="s">
        <v>24</v>
      </c>
      <c r="I780" s="4">
        <v>2</v>
      </c>
      <c r="J780" s="11">
        <v>500</v>
      </c>
      <c r="K780" s="13">
        <f>I780*J780</f>
        <v>1000</v>
      </c>
      <c r="L780" s="19">
        <f t="shared" si="37"/>
        <v>15</v>
      </c>
      <c r="M780" s="19">
        <f t="shared" si="38"/>
        <v>20</v>
      </c>
      <c r="N780" s="13" cm="1">
        <f t="array" ref="N780">_xlfn.IFS(C780=2023,K780*$P$2,C780=2024,K780*$P$3)</f>
        <v>15</v>
      </c>
    </row>
    <row r="781" spans="1:14">
      <c r="A781" s="2">
        <v>780</v>
      </c>
      <c r="B781" s="3">
        <v>44979</v>
      </c>
      <c r="C781" s="4">
        <f t="shared" si="36"/>
        <v>2023</v>
      </c>
      <c r="D781" s="4" t="s">
        <v>827</v>
      </c>
      <c r="E781" s="4" t="s">
        <v>16</v>
      </c>
      <c r="F781" s="4">
        <v>52</v>
      </c>
      <c r="G781" s="4" t="str" cm="1">
        <f t="array" ref="G781">_xlfn.IFS(F781&lt;30,"Young Adult",F781&lt;50,"Adult",F781&gt;=50,"Senior")</f>
        <v>Senior</v>
      </c>
      <c r="H781" s="4" t="s">
        <v>24</v>
      </c>
      <c r="I781" s="4">
        <v>2</v>
      </c>
      <c r="J781" s="11">
        <v>25</v>
      </c>
      <c r="K781" s="13">
        <f>I781*J781</f>
        <v>50</v>
      </c>
      <c r="L781" s="19">
        <f t="shared" si="37"/>
        <v>0.75</v>
      </c>
      <c r="M781" s="19">
        <f t="shared" si="38"/>
        <v>1</v>
      </c>
      <c r="N781" s="13" cm="1">
        <f t="array" ref="N781">_xlfn.IFS(C781=2023,K781*$P$2,C781=2024,K781*$P$3)</f>
        <v>0.75</v>
      </c>
    </row>
    <row r="782" spans="1:14">
      <c r="A782" s="2">
        <v>781</v>
      </c>
      <c r="B782" s="3">
        <v>45283</v>
      </c>
      <c r="C782" s="4">
        <f t="shared" si="36"/>
        <v>2023</v>
      </c>
      <c r="D782" s="4" t="s">
        <v>828</v>
      </c>
      <c r="E782" s="4" t="s">
        <v>16</v>
      </c>
      <c r="F782" s="4">
        <v>35</v>
      </c>
      <c r="G782" s="4" t="str" cm="1">
        <f t="array" ref="G782">_xlfn.IFS(F782&lt;30,"Young Adult",F782&lt;50,"Adult",F782&gt;=50,"Senior")</f>
        <v>Adult</v>
      </c>
      <c r="H782" s="4" t="s">
        <v>17</v>
      </c>
      <c r="I782" s="4">
        <v>1</v>
      </c>
      <c r="J782" s="11">
        <v>500</v>
      </c>
      <c r="K782" s="13">
        <f>I782*J782</f>
        <v>500</v>
      </c>
      <c r="L782" s="19">
        <f t="shared" si="37"/>
        <v>7.5</v>
      </c>
      <c r="M782" s="19">
        <f t="shared" si="38"/>
        <v>10</v>
      </c>
      <c r="N782" s="13" cm="1">
        <f t="array" ref="N782">_xlfn.IFS(C782=2023,K782*$P$2,C782=2024,K782*$P$3)</f>
        <v>7.5</v>
      </c>
    </row>
    <row r="783" spans="1:14">
      <c r="A783" s="2">
        <v>782</v>
      </c>
      <c r="B783" s="3">
        <v>45081</v>
      </c>
      <c r="C783" s="4">
        <f t="shared" si="36"/>
        <v>2023</v>
      </c>
      <c r="D783" s="4" t="s">
        <v>829</v>
      </c>
      <c r="E783" s="4" t="s">
        <v>16</v>
      </c>
      <c r="F783" s="4">
        <v>59</v>
      </c>
      <c r="G783" s="4" t="str" cm="1">
        <f t="array" ref="G783">_xlfn.IFS(F783&lt;30,"Young Adult",F783&lt;50,"Adult",F783&gt;=50,"Senior")</f>
        <v>Senior</v>
      </c>
      <c r="H783" s="4" t="s">
        <v>21</v>
      </c>
      <c r="I783" s="4">
        <v>3</v>
      </c>
      <c r="J783" s="11">
        <v>300</v>
      </c>
      <c r="K783" s="13">
        <f>I783*J783</f>
        <v>900</v>
      </c>
      <c r="L783" s="19">
        <f t="shared" si="37"/>
        <v>13.5</v>
      </c>
      <c r="M783" s="19">
        <f t="shared" si="38"/>
        <v>18</v>
      </c>
      <c r="N783" s="13" cm="1">
        <f t="array" ref="N783">_xlfn.IFS(C783=2023,K783*$P$2,C783=2024,K783*$P$3)</f>
        <v>13.5</v>
      </c>
    </row>
    <row r="784" spans="1:14">
      <c r="A784" s="2">
        <v>783</v>
      </c>
      <c r="B784" s="3">
        <v>45277</v>
      </c>
      <c r="C784" s="4">
        <f t="shared" si="36"/>
        <v>2023</v>
      </c>
      <c r="D784" s="4" t="s">
        <v>830</v>
      </c>
      <c r="E784" s="4" t="s">
        <v>20</v>
      </c>
      <c r="F784" s="4">
        <v>56</v>
      </c>
      <c r="G784" s="4" t="str" cm="1">
        <f t="array" ref="G784">_xlfn.IFS(F784&lt;30,"Young Adult",F784&lt;50,"Adult",F784&gt;=50,"Senior")</f>
        <v>Senior</v>
      </c>
      <c r="H784" s="4" t="s">
        <v>21</v>
      </c>
      <c r="I784" s="4">
        <v>1</v>
      </c>
      <c r="J784" s="11">
        <v>300</v>
      </c>
      <c r="K784" s="13">
        <f>I784*J784</f>
        <v>300</v>
      </c>
      <c r="L784" s="19">
        <f t="shared" si="37"/>
        <v>4.5</v>
      </c>
      <c r="M784" s="19">
        <f t="shared" si="38"/>
        <v>6</v>
      </c>
      <c r="N784" s="13" cm="1">
        <f t="array" ref="N784">_xlfn.IFS(C784=2023,K784*$P$2,C784=2024,K784*$P$3)</f>
        <v>4.5</v>
      </c>
    </row>
    <row r="785" spans="1:14">
      <c r="A785" s="2">
        <v>784</v>
      </c>
      <c r="B785" s="3">
        <v>45234</v>
      </c>
      <c r="C785" s="4">
        <f t="shared" si="36"/>
        <v>2023</v>
      </c>
      <c r="D785" s="4" t="s">
        <v>831</v>
      </c>
      <c r="E785" s="4" t="s">
        <v>20</v>
      </c>
      <c r="F785" s="4">
        <v>34</v>
      </c>
      <c r="G785" s="4" t="str" cm="1">
        <f t="array" ref="G785">_xlfn.IFS(F785&lt;30,"Young Adult",F785&lt;50,"Adult",F785&gt;=50,"Senior")</f>
        <v>Adult</v>
      </c>
      <c r="H785" s="4" t="s">
        <v>24</v>
      </c>
      <c r="I785" s="4">
        <v>1</v>
      </c>
      <c r="J785" s="11">
        <v>500</v>
      </c>
      <c r="K785" s="13">
        <f>I785*J785</f>
        <v>500</v>
      </c>
      <c r="L785" s="19">
        <f t="shared" si="37"/>
        <v>7.5</v>
      </c>
      <c r="M785" s="19">
        <f t="shared" si="38"/>
        <v>10</v>
      </c>
      <c r="N785" s="13" cm="1">
        <f t="array" ref="N785">_xlfn.IFS(C785=2023,K785*$P$2,C785=2024,K785*$P$3)</f>
        <v>7.5</v>
      </c>
    </row>
    <row r="786" spans="1:14">
      <c r="A786" s="2">
        <v>785</v>
      </c>
      <c r="B786" s="3">
        <v>44988</v>
      </c>
      <c r="C786" s="4">
        <f t="shared" si="36"/>
        <v>2023</v>
      </c>
      <c r="D786" s="4" t="s">
        <v>832</v>
      </c>
      <c r="E786" s="4" t="s">
        <v>20</v>
      </c>
      <c r="F786" s="4">
        <v>31</v>
      </c>
      <c r="G786" s="4" t="str" cm="1">
        <f t="array" ref="G786">_xlfn.IFS(F786&lt;30,"Young Adult",F786&lt;50,"Adult",F786&gt;=50,"Senior")</f>
        <v>Adult</v>
      </c>
      <c r="H786" s="4" t="s">
        <v>17</v>
      </c>
      <c r="I786" s="4">
        <v>4</v>
      </c>
      <c r="J786" s="11">
        <v>50</v>
      </c>
      <c r="K786" s="13">
        <f>I786*J786</f>
        <v>200</v>
      </c>
      <c r="L786" s="19">
        <f t="shared" si="37"/>
        <v>3</v>
      </c>
      <c r="M786" s="19">
        <f t="shared" si="38"/>
        <v>4</v>
      </c>
      <c r="N786" s="13" cm="1">
        <f t="array" ref="N786">_xlfn.IFS(C786=2023,K786*$P$2,C786=2024,K786*$P$3)</f>
        <v>3</v>
      </c>
    </row>
    <row r="787" spans="1:14">
      <c r="A787" s="2">
        <v>786</v>
      </c>
      <c r="B787" s="3">
        <v>45216</v>
      </c>
      <c r="C787" s="4">
        <f t="shared" si="36"/>
        <v>2023</v>
      </c>
      <c r="D787" s="4" t="s">
        <v>833</v>
      </c>
      <c r="E787" s="4" t="s">
        <v>16</v>
      </c>
      <c r="F787" s="4">
        <v>48</v>
      </c>
      <c r="G787" s="4" t="str" cm="1">
        <f t="array" ref="G787">_xlfn.IFS(F787&lt;30,"Young Adult",F787&lt;50,"Adult",F787&gt;=50,"Senior")</f>
        <v>Adult</v>
      </c>
      <c r="H787" s="4" t="s">
        <v>21</v>
      </c>
      <c r="I787" s="4">
        <v>4</v>
      </c>
      <c r="J787" s="11">
        <v>25</v>
      </c>
      <c r="K787" s="13">
        <f>I787*J787</f>
        <v>100</v>
      </c>
      <c r="L787" s="19">
        <f t="shared" si="37"/>
        <v>1.5</v>
      </c>
      <c r="M787" s="19">
        <f t="shared" si="38"/>
        <v>2</v>
      </c>
      <c r="N787" s="13" cm="1">
        <f t="array" ref="N787">_xlfn.IFS(C787=2023,K787*$P$2,C787=2024,K787*$P$3)</f>
        <v>1.5</v>
      </c>
    </row>
    <row r="788" spans="1:14">
      <c r="A788" s="2">
        <v>787</v>
      </c>
      <c r="B788" s="3">
        <v>44948</v>
      </c>
      <c r="C788" s="4">
        <f t="shared" si="36"/>
        <v>2023</v>
      </c>
      <c r="D788" s="4" t="s">
        <v>834</v>
      </c>
      <c r="E788" s="4" t="s">
        <v>16</v>
      </c>
      <c r="F788" s="4">
        <v>41</v>
      </c>
      <c r="G788" s="4" t="str" cm="1">
        <f t="array" ref="G788">_xlfn.IFS(F788&lt;30,"Young Adult",F788&lt;50,"Adult",F788&gt;=50,"Senior")</f>
        <v>Adult</v>
      </c>
      <c r="H788" s="4" t="s">
        <v>24</v>
      </c>
      <c r="I788" s="4">
        <v>1</v>
      </c>
      <c r="J788" s="11">
        <v>25</v>
      </c>
      <c r="K788" s="13">
        <f>I788*J788</f>
        <v>25</v>
      </c>
      <c r="L788" s="19">
        <f t="shared" si="37"/>
        <v>0.375</v>
      </c>
      <c r="M788" s="19">
        <f t="shared" si="38"/>
        <v>0.5</v>
      </c>
      <c r="N788" s="13" cm="1">
        <f t="array" ref="N788">_xlfn.IFS(C788=2023,K788*$P$2,C788=2024,K788*$P$3)</f>
        <v>0.375</v>
      </c>
    </row>
    <row r="789" spans="1:14">
      <c r="A789" s="2">
        <v>788</v>
      </c>
      <c r="B789" s="3">
        <v>45104</v>
      </c>
      <c r="C789" s="4">
        <f t="shared" si="36"/>
        <v>2023</v>
      </c>
      <c r="D789" s="4" t="s">
        <v>835</v>
      </c>
      <c r="E789" s="4" t="s">
        <v>20</v>
      </c>
      <c r="F789" s="4">
        <v>52</v>
      </c>
      <c r="G789" s="4" t="str" cm="1">
        <f t="array" ref="G789">_xlfn.IFS(F789&lt;30,"Young Adult",F789&lt;50,"Adult",F789&gt;=50,"Senior")</f>
        <v>Senior</v>
      </c>
      <c r="H789" s="4" t="s">
        <v>17</v>
      </c>
      <c r="I789" s="4">
        <v>3</v>
      </c>
      <c r="J789" s="11">
        <v>300</v>
      </c>
      <c r="K789" s="13">
        <f>I789*J789</f>
        <v>900</v>
      </c>
      <c r="L789" s="19">
        <f t="shared" si="37"/>
        <v>13.5</v>
      </c>
      <c r="M789" s="19">
        <f t="shared" si="38"/>
        <v>18</v>
      </c>
      <c r="N789" s="13" cm="1">
        <f t="array" ref="N789">_xlfn.IFS(C789=2023,K789*$P$2,C789=2024,K789*$P$3)</f>
        <v>13.5</v>
      </c>
    </row>
    <row r="790" spans="1:14">
      <c r="A790" s="2">
        <v>789</v>
      </c>
      <c r="B790" s="3">
        <v>45199</v>
      </c>
      <c r="C790" s="4">
        <f t="shared" si="36"/>
        <v>2023</v>
      </c>
      <c r="D790" s="4" t="s">
        <v>836</v>
      </c>
      <c r="E790" s="4" t="s">
        <v>20</v>
      </c>
      <c r="F790" s="4">
        <v>61</v>
      </c>
      <c r="G790" s="4" t="str" cm="1">
        <f t="array" ref="G790">_xlfn.IFS(F790&lt;30,"Young Adult",F790&lt;50,"Adult",F790&gt;=50,"Senior")</f>
        <v>Senior</v>
      </c>
      <c r="H790" s="4" t="s">
        <v>21</v>
      </c>
      <c r="I790" s="4">
        <v>4</v>
      </c>
      <c r="J790" s="11">
        <v>500</v>
      </c>
      <c r="K790" s="13">
        <f>I790*J790</f>
        <v>2000</v>
      </c>
      <c r="L790" s="19">
        <f t="shared" si="37"/>
        <v>30</v>
      </c>
      <c r="M790" s="19">
        <f t="shared" si="38"/>
        <v>40</v>
      </c>
      <c r="N790" s="13" cm="1">
        <f t="array" ref="N790">_xlfn.IFS(C790=2023,K790*$P$2,C790=2024,K790*$P$3)</f>
        <v>30</v>
      </c>
    </row>
    <row r="791" spans="1:14">
      <c r="A791" s="2">
        <v>790</v>
      </c>
      <c r="B791" s="3">
        <v>45146</v>
      </c>
      <c r="C791" s="4">
        <f t="shared" si="36"/>
        <v>2023</v>
      </c>
      <c r="D791" s="4" t="s">
        <v>837</v>
      </c>
      <c r="E791" s="4" t="s">
        <v>16</v>
      </c>
      <c r="F791" s="4">
        <v>62</v>
      </c>
      <c r="G791" s="4" t="str" cm="1">
        <f t="array" ref="G791">_xlfn.IFS(F791&lt;30,"Young Adult",F791&lt;50,"Adult",F791&gt;=50,"Senior")</f>
        <v>Senior</v>
      </c>
      <c r="H791" s="4" t="s">
        <v>21</v>
      </c>
      <c r="I791" s="4">
        <v>1</v>
      </c>
      <c r="J791" s="11">
        <v>25</v>
      </c>
      <c r="K791" s="13">
        <f>I791*J791</f>
        <v>25</v>
      </c>
      <c r="L791" s="19">
        <f t="shared" si="37"/>
        <v>0.375</v>
      </c>
      <c r="M791" s="19">
        <f t="shared" si="38"/>
        <v>0.5</v>
      </c>
      <c r="N791" s="13" cm="1">
        <f t="array" ref="N791">_xlfn.IFS(C791=2023,K791*$P$2,C791=2024,K791*$P$3)</f>
        <v>0.375</v>
      </c>
    </row>
    <row r="792" spans="1:14">
      <c r="A792" s="2">
        <v>791</v>
      </c>
      <c r="B792" s="3">
        <v>45265</v>
      </c>
      <c r="C792" s="4">
        <f t="shared" si="36"/>
        <v>2023</v>
      </c>
      <c r="D792" s="4" t="s">
        <v>838</v>
      </c>
      <c r="E792" s="4" t="s">
        <v>20</v>
      </c>
      <c r="F792" s="4">
        <v>51</v>
      </c>
      <c r="G792" s="4" t="str" cm="1">
        <f t="array" ref="G792">_xlfn.IFS(F792&lt;30,"Young Adult",F792&lt;50,"Adult",F792&gt;=50,"Senior")</f>
        <v>Senior</v>
      </c>
      <c r="H792" s="4" t="s">
        <v>17</v>
      </c>
      <c r="I792" s="4">
        <v>1</v>
      </c>
      <c r="J792" s="11">
        <v>25</v>
      </c>
      <c r="K792" s="13">
        <f>I792*J792</f>
        <v>25</v>
      </c>
      <c r="L792" s="19">
        <f t="shared" si="37"/>
        <v>0.375</v>
      </c>
      <c r="M792" s="19">
        <f t="shared" si="38"/>
        <v>0.5</v>
      </c>
      <c r="N792" s="13" cm="1">
        <f t="array" ref="N792">_xlfn.IFS(C792=2023,K792*$P$2,C792=2024,K792*$P$3)</f>
        <v>0.375</v>
      </c>
    </row>
    <row r="793" spans="1:14">
      <c r="A793" s="2">
        <v>792</v>
      </c>
      <c r="B793" s="3">
        <v>45116</v>
      </c>
      <c r="C793" s="4">
        <f t="shared" si="36"/>
        <v>2023</v>
      </c>
      <c r="D793" s="4" t="s">
        <v>839</v>
      </c>
      <c r="E793" s="4" t="s">
        <v>20</v>
      </c>
      <c r="F793" s="4">
        <v>20</v>
      </c>
      <c r="G793" s="4" t="str" cm="1">
        <f t="array" ref="G793">_xlfn.IFS(F793&lt;30,"Young Adult",F793&lt;50,"Adult",F793&gt;=50,"Senior")</f>
        <v>Young Adult</v>
      </c>
      <c r="H793" s="4" t="s">
        <v>17</v>
      </c>
      <c r="I793" s="4">
        <v>1</v>
      </c>
      <c r="J793" s="11">
        <v>50</v>
      </c>
      <c r="K793" s="13">
        <f>I793*J793</f>
        <v>50</v>
      </c>
      <c r="L793" s="19">
        <f t="shared" si="37"/>
        <v>0.75</v>
      </c>
      <c r="M793" s="19">
        <f t="shared" si="38"/>
        <v>1</v>
      </c>
      <c r="N793" s="13" cm="1">
        <f t="array" ref="N793">_xlfn.IFS(C793=2023,K793*$P$2,C793=2024,K793*$P$3)</f>
        <v>0.75</v>
      </c>
    </row>
    <row r="794" spans="1:14">
      <c r="A794" s="2">
        <v>793</v>
      </c>
      <c r="B794" s="3">
        <v>44962</v>
      </c>
      <c r="C794" s="4">
        <f t="shared" si="36"/>
        <v>2023</v>
      </c>
      <c r="D794" s="4" t="s">
        <v>840</v>
      </c>
      <c r="E794" s="4" t="s">
        <v>16</v>
      </c>
      <c r="F794" s="4">
        <v>54</v>
      </c>
      <c r="G794" s="4" t="str" cm="1">
        <f t="array" ref="G794">_xlfn.IFS(F794&lt;30,"Young Adult",F794&lt;50,"Adult",F794&gt;=50,"Senior")</f>
        <v>Senior</v>
      </c>
      <c r="H794" s="4" t="s">
        <v>17</v>
      </c>
      <c r="I794" s="4">
        <v>1</v>
      </c>
      <c r="J794" s="11">
        <v>30</v>
      </c>
      <c r="K794" s="13">
        <f>I794*J794</f>
        <v>30</v>
      </c>
      <c r="L794" s="19">
        <f t="shared" si="37"/>
        <v>0.44999999999999996</v>
      </c>
      <c r="M794" s="19">
        <f t="shared" si="38"/>
        <v>0.6</v>
      </c>
      <c r="N794" s="13" cm="1">
        <f t="array" ref="N794">_xlfn.IFS(C794=2023,K794*$P$2,C794=2024,K794*$P$3)</f>
        <v>0.44999999999999996</v>
      </c>
    </row>
    <row r="795" spans="1:14">
      <c r="A795" s="2">
        <v>794</v>
      </c>
      <c r="B795" s="3">
        <v>45186</v>
      </c>
      <c r="C795" s="4">
        <f t="shared" si="36"/>
        <v>2023</v>
      </c>
      <c r="D795" s="4" t="s">
        <v>841</v>
      </c>
      <c r="E795" s="4" t="s">
        <v>20</v>
      </c>
      <c r="F795" s="4">
        <v>60</v>
      </c>
      <c r="G795" s="4" t="str" cm="1">
        <f t="array" ref="G795">_xlfn.IFS(F795&lt;30,"Young Adult",F795&lt;50,"Adult",F795&gt;=50,"Senior")</f>
        <v>Senior</v>
      </c>
      <c r="H795" s="4" t="s">
        <v>17</v>
      </c>
      <c r="I795" s="4">
        <v>1</v>
      </c>
      <c r="J795" s="11">
        <v>300</v>
      </c>
      <c r="K795" s="13">
        <f>I795*J795</f>
        <v>300</v>
      </c>
      <c r="L795" s="19">
        <f t="shared" si="37"/>
        <v>4.5</v>
      </c>
      <c r="M795" s="19">
        <f t="shared" si="38"/>
        <v>6</v>
      </c>
      <c r="N795" s="13" cm="1">
        <f t="array" ref="N795">_xlfn.IFS(C795=2023,K795*$P$2,C795=2024,K795*$P$3)</f>
        <v>4.5</v>
      </c>
    </row>
    <row r="796" spans="1:14">
      <c r="A796" s="2">
        <v>795</v>
      </c>
      <c r="B796" s="3">
        <v>45258</v>
      </c>
      <c r="C796" s="4">
        <f t="shared" si="36"/>
        <v>2023</v>
      </c>
      <c r="D796" s="4" t="s">
        <v>842</v>
      </c>
      <c r="E796" s="4" t="s">
        <v>16</v>
      </c>
      <c r="F796" s="4">
        <v>57</v>
      </c>
      <c r="G796" s="4" t="str" cm="1">
        <f t="array" ref="G796">_xlfn.IFS(F796&lt;30,"Young Adult",F796&lt;50,"Adult",F796&gt;=50,"Senior")</f>
        <v>Senior</v>
      </c>
      <c r="H796" s="4" t="s">
        <v>24</v>
      </c>
      <c r="I796" s="4">
        <v>1</v>
      </c>
      <c r="J796" s="11">
        <v>300</v>
      </c>
      <c r="K796" s="13">
        <f>I796*J796</f>
        <v>300</v>
      </c>
      <c r="L796" s="19">
        <f t="shared" si="37"/>
        <v>4.5</v>
      </c>
      <c r="M796" s="19">
        <f t="shared" si="38"/>
        <v>6</v>
      </c>
      <c r="N796" s="13" cm="1">
        <f t="array" ref="N796">_xlfn.IFS(C796=2023,K796*$P$2,C796=2024,K796*$P$3)</f>
        <v>4.5</v>
      </c>
    </row>
    <row r="797" spans="1:14">
      <c r="A797" s="2">
        <v>796</v>
      </c>
      <c r="B797" s="3">
        <v>45101</v>
      </c>
      <c r="C797" s="4">
        <f t="shared" si="36"/>
        <v>2023</v>
      </c>
      <c r="D797" s="4" t="s">
        <v>843</v>
      </c>
      <c r="E797" s="4" t="s">
        <v>16</v>
      </c>
      <c r="F797" s="4">
        <v>43</v>
      </c>
      <c r="G797" s="4" t="str" cm="1">
        <f t="array" ref="G797">_xlfn.IFS(F797&lt;30,"Young Adult",F797&lt;50,"Adult",F797&gt;=50,"Senior")</f>
        <v>Adult</v>
      </c>
      <c r="H797" s="4" t="s">
        <v>17</v>
      </c>
      <c r="I797" s="4">
        <v>4</v>
      </c>
      <c r="J797" s="11">
        <v>30</v>
      </c>
      <c r="K797" s="13">
        <f>I797*J797</f>
        <v>120</v>
      </c>
      <c r="L797" s="19">
        <f t="shared" si="37"/>
        <v>1.7999999999999998</v>
      </c>
      <c r="M797" s="19">
        <f t="shared" si="38"/>
        <v>2.4</v>
      </c>
      <c r="N797" s="13" cm="1">
        <f t="array" ref="N797">_xlfn.IFS(C797=2023,K797*$P$2,C797=2024,K797*$P$3)</f>
        <v>1.7999999999999998</v>
      </c>
    </row>
    <row r="798" spans="1:14">
      <c r="A798" s="2">
        <v>797</v>
      </c>
      <c r="B798" s="3">
        <v>44933</v>
      </c>
      <c r="C798" s="4">
        <f t="shared" si="36"/>
        <v>2023</v>
      </c>
      <c r="D798" s="4" t="s">
        <v>844</v>
      </c>
      <c r="E798" s="4" t="s">
        <v>16</v>
      </c>
      <c r="F798" s="4">
        <v>40</v>
      </c>
      <c r="G798" s="4" t="str" cm="1">
        <f t="array" ref="G798">_xlfn.IFS(F798&lt;30,"Young Adult",F798&lt;50,"Adult",F798&gt;=50,"Senior")</f>
        <v>Adult</v>
      </c>
      <c r="H798" s="4" t="s">
        <v>21</v>
      </c>
      <c r="I798" s="4">
        <v>3</v>
      </c>
      <c r="J798" s="11">
        <v>25</v>
      </c>
      <c r="K798" s="13">
        <f>I798*J798</f>
        <v>75</v>
      </c>
      <c r="L798" s="19">
        <f t="shared" si="37"/>
        <v>1.125</v>
      </c>
      <c r="M798" s="19">
        <f t="shared" si="38"/>
        <v>1.5</v>
      </c>
      <c r="N798" s="13" cm="1">
        <f t="array" ref="N798">_xlfn.IFS(C798=2023,K798*$P$2,C798=2024,K798*$P$3)</f>
        <v>1.125</v>
      </c>
    </row>
    <row r="799" spans="1:14">
      <c r="A799" s="2">
        <v>798</v>
      </c>
      <c r="B799" s="3">
        <v>45142</v>
      </c>
      <c r="C799" s="4">
        <f t="shared" si="36"/>
        <v>2023</v>
      </c>
      <c r="D799" s="4" t="s">
        <v>845</v>
      </c>
      <c r="E799" s="4" t="s">
        <v>16</v>
      </c>
      <c r="F799" s="4">
        <v>61</v>
      </c>
      <c r="G799" s="4" t="str" cm="1">
        <f t="array" ref="G799">_xlfn.IFS(F799&lt;30,"Young Adult",F799&lt;50,"Adult",F799&gt;=50,"Senior")</f>
        <v>Senior</v>
      </c>
      <c r="H799" s="4" t="s">
        <v>21</v>
      </c>
      <c r="I799" s="4">
        <v>1</v>
      </c>
      <c r="J799" s="11">
        <v>50</v>
      </c>
      <c r="K799" s="13">
        <f>I799*J799</f>
        <v>50</v>
      </c>
      <c r="L799" s="19">
        <f t="shared" si="37"/>
        <v>0.75</v>
      </c>
      <c r="M799" s="19">
        <f t="shared" si="38"/>
        <v>1</v>
      </c>
      <c r="N799" s="13" cm="1">
        <f t="array" ref="N799">_xlfn.IFS(C799=2023,K799*$P$2,C799=2024,K799*$P$3)</f>
        <v>0.75</v>
      </c>
    </row>
    <row r="800" spans="1:14">
      <c r="A800" s="2">
        <v>799</v>
      </c>
      <c r="B800" s="3">
        <v>45177</v>
      </c>
      <c r="C800" s="4">
        <f t="shared" si="36"/>
        <v>2023</v>
      </c>
      <c r="D800" s="4" t="s">
        <v>846</v>
      </c>
      <c r="E800" s="4" t="s">
        <v>16</v>
      </c>
      <c r="F800" s="4">
        <v>56</v>
      </c>
      <c r="G800" s="4" t="str" cm="1">
        <f t="array" ref="G800">_xlfn.IFS(F800&lt;30,"Young Adult",F800&lt;50,"Adult",F800&gt;=50,"Senior")</f>
        <v>Senior</v>
      </c>
      <c r="H800" s="4" t="s">
        <v>24</v>
      </c>
      <c r="I800" s="4">
        <v>2</v>
      </c>
      <c r="J800" s="11">
        <v>50</v>
      </c>
      <c r="K800" s="13">
        <f>I800*J800</f>
        <v>100</v>
      </c>
      <c r="L800" s="19">
        <f t="shared" si="37"/>
        <v>1.5</v>
      </c>
      <c r="M800" s="19">
        <f t="shared" si="38"/>
        <v>2</v>
      </c>
      <c r="N800" s="13" cm="1">
        <f t="array" ref="N800">_xlfn.IFS(C800=2023,K800*$P$2,C800=2024,K800*$P$3)</f>
        <v>1.5</v>
      </c>
    </row>
    <row r="801" spans="1:14">
      <c r="A801" s="2">
        <v>800</v>
      </c>
      <c r="B801" s="3">
        <v>44981</v>
      </c>
      <c r="C801" s="4">
        <f t="shared" si="36"/>
        <v>2023</v>
      </c>
      <c r="D801" s="4" t="s">
        <v>847</v>
      </c>
      <c r="E801" s="4" t="s">
        <v>16</v>
      </c>
      <c r="F801" s="4">
        <v>32</v>
      </c>
      <c r="G801" s="4" t="str" cm="1">
        <f t="array" ref="G801">_xlfn.IFS(F801&lt;30,"Young Adult",F801&lt;50,"Adult",F801&gt;=50,"Senior")</f>
        <v>Adult</v>
      </c>
      <c r="H801" s="4" t="s">
        <v>21</v>
      </c>
      <c r="I801" s="4">
        <v>4</v>
      </c>
      <c r="J801" s="11">
        <v>300</v>
      </c>
      <c r="K801" s="13">
        <f>I801*J801</f>
        <v>1200</v>
      </c>
      <c r="L801" s="19">
        <f t="shared" si="37"/>
        <v>18</v>
      </c>
      <c r="M801" s="19">
        <f t="shared" si="38"/>
        <v>24</v>
      </c>
      <c r="N801" s="13" cm="1">
        <f t="array" ref="N801">_xlfn.IFS(C801=2023,K801*$P$2,C801=2024,K801*$P$3)</f>
        <v>18</v>
      </c>
    </row>
    <row r="802" spans="1:14">
      <c r="A802" s="2">
        <v>801</v>
      </c>
      <c r="B802" s="3">
        <v>45148</v>
      </c>
      <c r="C802" s="4">
        <f t="shared" si="36"/>
        <v>2023</v>
      </c>
      <c r="D802" s="4" t="s">
        <v>848</v>
      </c>
      <c r="E802" s="4" t="s">
        <v>16</v>
      </c>
      <c r="F802" s="4">
        <v>21</v>
      </c>
      <c r="G802" s="4" t="str" cm="1">
        <f t="array" ref="G802">_xlfn.IFS(F802&lt;30,"Young Adult",F802&lt;50,"Adult",F802&gt;=50,"Senior")</f>
        <v>Young Adult</v>
      </c>
      <c r="H802" s="4" t="s">
        <v>21</v>
      </c>
      <c r="I802" s="4">
        <v>4</v>
      </c>
      <c r="J802" s="11">
        <v>50</v>
      </c>
      <c r="K802" s="13">
        <f>I802*J802</f>
        <v>200</v>
      </c>
      <c r="L802" s="19">
        <f t="shared" si="37"/>
        <v>3</v>
      </c>
      <c r="M802" s="19">
        <f t="shared" si="38"/>
        <v>4</v>
      </c>
      <c r="N802" s="13" cm="1">
        <f t="array" ref="N802">_xlfn.IFS(C802=2023,K802*$P$2,C802=2024,K802*$P$3)</f>
        <v>3</v>
      </c>
    </row>
    <row r="803" spans="1:14">
      <c r="A803" s="2">
        <v>802</v>
      </c>
      <c r="B803" s="3">
        <v>45112</v>
      </c>
      <c r="C803" s="4">
        <f t="shared" si="36"/>
        <v>2023</v>
      </c>
      <c r="D803" s="4" t="s">
        <v>849</v>
      </c>
      <c r="E803" s="4" t="s">
        <v>20</v>
      </c>
      <c r="F803" s="4">
        <v>46</v>
      </c>
      <c r="G803" s="4" t="str" cm="1">
        <f t="array" ref="G803">_xlfn.IFS(F803&lt;30,"Young Adult",F803&lt;50,"Adult",F803&gt;=50,"Senior")</f>
        <v>Adult</v>
      </c>
      <c r="H803" s="4" t="s">
        <v>17</v>
      </c>
      <c r="I803" s="4">
        <v>1</v>
      </c>
      <c r="J803" s="11">
        <v>30</v>
      </c>
      <c r="K803" s="13">
        <f>I803*J803</f>
        <v>30</v>
      </c>
      <c r="L803" s="19">
        <f t="shared" si="37"/>
        <v>0.44999999999999996</v>
      </c>
      <c r="M803" s="19">
        <f t="shared" si="38"/>
        <v>0.6</v>
      </c>
      <c r="N803" s="13" cm="1">
        <f t="array" ref="N803">_xlfn.IFS(C803=2023,K803*$P$2,C803=2024,K803*$P$3)</f>
        <v>0.44999999999999996</v>
      </c>
    </row>
    <row r="804" spans="1:14">
      <c r="A804" s="2">
        <v>803</v>
      </c>
      <c r="B804" s="3">
        <v>45252</v>
      </c>
      <c r="C804" s="4">
        <f t="shared" si="36"/>
        <v>2023</v>
      </c>
      <c r="D804" s="4" t="s">
        <v>850</v>
      </c>
      <c r="E804" s="4" t="s">
        <v>16</v>
      </c>
      <c r="F804" s="4">
        <v>39</v>
      </c>
      <c r="G804" s="4" t="str" cm="1">
        <f t="array" ref="G804">_xlfn.IFS(F804&lt;30,"Young Adult",F804&lt;50,"Adult",F804&gt;=50,"Senior")</f>
        <v>Adult</v>
      </c>
      <c r="H804" s="4" t="s">
        <v>21</v>
      </c>
      <c r="I804" s="4">
        <v>4</v>
      </c>
      <c r="J804" s="11">
        <v>25</v>
      </c>
      <c r="K804" s="13">
        <f>I804*J804</f>
        <v>100</v>
      </c>
      <c r="L804" s="19">
        <f t="shared" si="37"/>
        <v>1.5</v>
      </c>
      <c r="M804" s="19">
        <f t="shared" si="38"/>
        <v>2</v>
      </c>
      <c r="N804" s="13" cm="1">
        <f t="array" ref="N804">_xlfn.IFS(C804=2023,K804*$P$2,C804=2024,K804*$P$3)</f>
        <v>1.5</v>
      </c>
    </row>
    <row r="805" spans="1:14">
      <c r="A805" s="2">
        <v>804</v>
      </c>
      <c r="B805" s="3">
        <v>45162</v>
      </c>
      <c r="C805" s="4">
        <f t="shared" si="36"/>
        <v>2023</v>
      </c>
      <c r="D805" s="4" t="s">
        <v>851</v>
      </c>
      <c r="E805" s="4" t="s">
        <v>16</v>
      </c>
      <c r="F805" s="4">
        <v>42</v>
      </c>
      <c r="G805" s="4" t="str" cm="1">
        <f t="array" ref="G805">_xlfn.IFS(F805&lt;30,"Young Adult",F805&lt;50,"Adult",F805&gt;=50,"Senior")</f>
        <v>Adult</v>
      </c>
      <c r="H805" s="4" t="s">
        <v>24</v>
      </c>
      <c r="I805" s="4">
        <v>1</v>
      </c>
      <c r="J805" s="11">
        <v>30</v>
      </c>
      <c r="K805" s="13">
        <f>I805*J805</f>
        <v>30</v>
      </c>
      <c r="L805" s="19">
        <f t="shared" si="37"/>
        <v>0.44999999999999996</v>
      </c>
      <c r="M805" s="19">
        <f t="shared" si="38"/>
        <v>0.6</v>
      </c>
      <c r="N805" s="13" cm="1">
        <f t="array" ref="N805">_xlfn.IFS(C805=2023,K805*$P$2,C805=2024,K805*$P$3)</f>
        <v>0.44999999999999996</v>
      </c>
    </row>
    <row r="806" spans="1:14">
      <c r="A806" s="2">
        <v>805</v>
      </c>
      <c r="B806" s="3">
        <v>45289</v>
      </c>
      <c r="C806" s="4">
        <f t="shared" si="36"/>
        <v>2023</v>
      </c>
      <c r="D806" s="4" t="s">
        <v>852</v>
      </c>
      <c r="E806" s="4" t="s">
        <v>20</v>
      </c>
      <c r="F806" s="4">
        <v>30</v>
      </c>
      <c r="G806" s="4" t="str" cm="1">
        <f t="array" ref="G806">_xlfn.IFS(F806&lt;30,"Young Adult",F806&lt;50,"Adult",F806&gt;=50,"Senior")</f>
        <v>Adult</v>
      </c>
      <c r="H806" s="4" t="s">
        <v>17</v>
      </c>
      <c r="I806" s="4">
        <v>3</v>
      </c>
      <c r="J806" s="11">
        <v>500</v>
      </c>
      <c r="K806" s="13">
        <f>I806*J806</f>
        <v>1500</v>
      </c>
      <c r="L806" s="19">
        <f t="shared" si="37"/>
        <v>22.5</v>
      </c>
      <c r="M806" s="19">
        <f t="shared" si="38"/>
        <v>30</v>
      </c>
      <c r="N806" s="13" cm="1">
        <f t="array" ref="N806">_xlfn.IFS(C806=2023,K806*$P$2,C806=2024,K806*$P$3)</f>
        <v>22.5</v>
      </c>
    </row>
    <row r="807" spans="1:14">
      <c r="A807" s="2">
        <v>806</v>
      </c>
      <c r="B807" s="3">
        <v>45005</v>
      </c>
      <c r="C807" s="4">
        <f t="shared" si="36"/>
        <v>2023</v>
      </c>
      <c r="D807" s="4" t="s">
        <v>853</v>
      </c>
      <c r="E807" s="4" t="s">
        <v>20</v>
      </c>
      <c r="F807" s="4">
        <v>35</v>
      </c>
      <c r="G807" s="4" t="str" cm="1">
        <f t="array" ref="G807">_xlfn.IFS(F807&lt;30,"Young Adult",F807&lt;50,"Adult",F807&gt;=50,"Senior")</f>
        <v>Adult</v>
      </c>
      <c r="H807" s="4" t="s">
        <v>17</v>
      </c>
      <c r="I807" s="4">
        <v>3</v>
      </c>
      <c r="J807" s="11">
        <v>300</v>
      </c>
      <c r="K807" s="13">
        <f>I807*J807</f>
        <v>900</v>
      </c>
      <c r="L807" s="19">
        <f t="shared" si="37"/>
        <v>13.5</v>
      </c>
      <c r="M807" s="19">
        <f t="shared" si="38"/>
        <v>18</v>
      </c>
      <c r="N807" s="13" cm="1">
        <f t="array" ref="N807">_xlfn.IFS(C807=2023,K807*$P$2,C807=2024,K807*$P$3)</f>
        <v>13.5</v>
      </c>
    </row>
    <row r="808" spans="1:14">
      <c r="A808" s="2">
        <v>807</v>
      </c>
      <c r="B808" s="3">
        <v>45149</v>
      </c>
      <c r="C808" s="4">
        <f t="shared" si="36"/>
        <v>2023</v>
      </c>
      <c r="D808" s="4" t="s">
        <v>854</v>
      </c>
      <c r="E808" s="4" t="s">
        <v>20</v>
      </c>
      <c r="F808" s="4">
        <v>50</v>
      </c>
      <c r="G808" s="4" t="str" cm="1">
        <f t="array" ref="G808">_xlfn.IFS(F808&lt;30,"Young Adult",F808&lt;50,"Adult",F808&gt;=50,"Senior")</f>
        <v>Senior</v>
      </c>
      <c r="H808" s="4" t="s">
        <v>24</v>
      </c>
      <c r="I808" s="4">
        <v>4</v>
      </c>
      <c r="J808" s="11">
        <v>50</v>
      </c>
      <c r="K808" s="13">
        <f>I808*J808</f>
        <v>200</v>
      </c>
      <c r="L808" s="19">
        <f t="shared" si="37"/>
        <v>3</v>
      </c>
      <c r="M808" s="19">
        <f t="shared" si="38"/>
        <v>4</v>
      </c>
      <c r="N808" s="13" cm="1">
        <f t="array" ref="N808">_xlfn.IFS(C808=2023,K808*$P$2,C808=2024,K808*$P$3)</f>
        <v>3</v>
      </c>
    </row>
    <row r="809" spans="1:14">
      <c r="A809" s="2">
        <v>808</v>
      </c>
      <c r="B809" s="3">
        <v>45017</v>
      </c>
      <c r="C809" s="4">
        <f t="shared" si="36"/>
        <v>2023</v>
      </c>
      <c r="D809" s="4" t="s">
        <v>855</v>
      </c>
      <c r="E809" s="4" t="s">
        <v>16</v>
      </c>
      <c r="F809" s="4">
        <v>33</v>
      </c>
      <c r="G809" s="4" t="str" cm="1">
        <f t="array" ref="G809">_xlfn.IFS(F809&lt;30,"Young Adult",F809&lt;50,"Adult",F809&gt;=50,"Senior")</f>
        <v>Adult</v>
      </c>
      <c r="H809" s="4" t="s">
        <v>17</v>
      </c>
      <c r="I809" s="4">
        <v>4</v>
      </c>
      <c r="J809" s="11">
        <v>500</v>
      </c>
      <c r="K809" s="13">
        <f>I809*J809</f>
        <v>2000</v>
      </c>
      <c r="L809" s="19">
        <f t="shared" si="37"/>
        <v>30</v>
      </c>
      <c r="M809" s="19">
        <f t="shared" si="38"/>
        <v>40</v>
      </c>
      <c r="N809" s="13" cm="1">
        <f t="array" ref="N809">_xlfn.IFS(C809=2023,K809*$P$2,C809=2024,K809*$P$3)</f>
        <v>30</v>
      </c>
    </row>
    <row r="810" spans="1:14">
      <c r="A810" s="2">
        <v>809</v>
      </c>
      <c r="B810" s="3">
        <v>45194</v>
      </c>
      <c r="C810" s="4">
        <f t="shared" si="36"/>
        <v>2023</v>
      </c>
      <c r="D810" s="4" t="s">
        <v>856</v>
      </c>
      <c r="E810" s="4" t="s">
        <v>20</v>
      </c>
      <c r="F810" s="4">
        <v>62</v>
      </c>
      <c r="G810" s="4" t="str" cm="1">
        <f t="array" ref="G810">_xlfn.IFS(F810&lt;30,"Young Adult",F810&lt;50,"Adult",F810&gt;=50,"Senior")</f>
        <v>Senior</v>
      </c>
      <c r="H810" s="4" t="s">
        <v>17</v>
      </c>
      <c r="I810" s="4">
        <v>2</v>
      </c>
      <c r="J810" s="11">
        <v>50</v>
      </c>
      <c r="K810" s="13">
        <f>I810*J810</f>
        <v>100</v>
      </c>
      <c r="L810" s="19">
        <f t="shared" si="37"/>
        <v>1.5</v>
      </c>
      <c r="M810" s="19">
        <f t="shared" si="38"/>
        <v>2</v>
      </c>
      <c r="N810" s="13" cm="1">
        <f t="array" ref="N810">_xlfn.IFS(C810=2023,K810*$P$2,C810=2024,K810*$P$3)</f>
        <v>1.5</v>
      </c>
    </row>
    <row r="811" spans="1:14">
      <c r="A811" s="2">
        <v>810</v>
      </c>
      <c r="B811" s="3">
        <v>45260</v>
      </c>
      <c r="C811" s="4">
        <f t="shared" si="36"/>
        <v>2023</v>
      </c>
      <c r="D811" s="4" t="s">
        <v>857</v>
      </c>
      <c r="E811" s="4" t="s">
        <v>16</v>
      </c>
      <c r="F811" s="4">
        <v>59</v>
      </c>
      <c r="G811" s="4" t="str" cm="1">
        <f t="array" ref="G811">_xlfn.IFS(F811&lt;30,"Young Adult",F811&lt;50,"Adult",F811&gt;=50,"Senior")</f>
        <v>Senior</v>
      </c>
      <c r="H811" s="4" t="s">
        <v>24</v>
      </c>
      <c r="I811" s="4">
        <v>4</v>
      </c>
      <c r="J811" s="11">
        <v>25</v>
      </c>
      <c r="K811" s="13">
        <f>I811*J811</f>
        <v>100</v>
      </c>
      <c r="L811" s="19">
        <f t="shared" si="37"/>
        <v>1.5</v>
      </c>
      <c r="M811" s="19">
        <f t="shared" si="38"/>
        <v>2</v>
      </c>
      <c r="N811" s="13" cm="1">
        <f t="array" ref="N811">_xlfn.IFS(C811=2023,K811*$P$2,C811=2024,K811*$P$3)</f>
        <v>1.5</v>
      </c>
    </row>
    <row r="812" spans="1:14">
      <c r="A812" s="2">
        <v>811</v>
      </c>
      <c r="B812" s="3">
        <v>45065</v>
      </c>
      <c r="C812" s="4">
        <f t="shared" si="36"/>
        <v>2023</v>
      </c>
      <c r="D812" s="4" t="s">
        <v>858</v>
      </c>
      <c r="E812" s="4" t="s">
        <v>16</v>
      </c>
      <c r="F812" s="4">
        <v>61</v>
      </c>
      <c r="G812" s="4" t="str" cm="1">
        <f t="array" ref="G812">_xlfn.IFS(F812&lt;30,"Young Adult",F812&lt;50,"Adult",F812&gt;=50,"Senior")</f>
        <v>Senior</v>
      </c>
      <c r="H812" s="4" t="s">
        <v>17</v>
      </c>
      <c r="I812" s="4">
        <v>2</v>
      </c>
      <c r="J812" s="11">
        <v>25</v>
      </c>
      <c r="K812" s="13">
        <f>I812*J812</f>
        <v>50</v>
      </c>
      <c r="L812" s="19">
        <f t="shared" si="37"/>
        <v>0.75</v>
      </c>
      <c r="M812" s="19">
        <f t="shared" si="38"/>
        <v>1</v>
      </c>
      <c r="N812" s="13" cm="1">
        <f t="array" ref="N812">_xlfn.IFS(C812=2023,K812*$P$2,C812=2024,K812*$P$3)</f>
        <v>0.75</v>
      </c>
    </row>
    <row r="813" spans="1:14">
      <c r="A813" s="2">
        <v>812</v>
      </c>
      <c r="B813" s="3">
        <v>45242</v>
      </c>
      <c r="C813" s="4">
        <f t="shared" si="36"/>
        <v>2023</v>
      </c>
      <c r="D813" s="4" t="s">
        <v>859</v>
      </c>
      <c r="E813" s="4" t="s">
        <v>16</v>
      </c>
      <c r="F813" s="4">
        <v>19</v>
      </c>
      <c r="G813" s="4" t="str" cm="1">
        <f t="array" ref="G813">_xlfn.IFS(F813&lt;30,"Young Adult",F813&lt;50,"Adult",F813&gt;=50,"Senior")</f>
        <v>Young Adult</v>
      </c>
      <c r="H813" s="4" t="s">
        <v>24</v>
      </c>
      <c r="I813" s="4">
        <v>3</v>
      </c>
      <c r="J813" s="11">
        <v>25</v>
      </c>
      <c r="K813" s="13">
        <f>I813*J813</f>
        <v>75</v>
      </c>
      <c r="L813" s="19">
        <f t="shared" si="37"/>
        <v>1.125</v>
      </c>
      <c r="M813" s="19">
        <f t="shared" si="38"/>
        <v>1.5</v>
      </c>
      <c r="N813" s="13" cm="1">
        <f t="array" ref="N813">_xlfn.IFS(C813=2023,K813*$P$2,C813=2024,K813*$P$3)</f>
        <v>1.125</v>
      </c>
    </row>
    <row r="814" spans="1:14">
      <c r="A814" s="2">
        <v>813</v>
      </c>
      <c r="B814" s="3">
        <v>45202</v>
      </c>
      <c r="C814" s="4">
        <f t="shared" si="36"/>
        <v>2023</v>
      </c>
      <c r="D814" s="4" t="s">
        <v>860</v>
      </c>
      <c r="E814" s="4" t="s">
        <v>16</v>
      </c>
      <c r="F814" s="4">
        <v>52</v>
      </c>
      <c r="G814" s="4" t="str" cm="1">
        <f t="array" ref="G814">_xlfn.IFS(F814&lt;30,"Young Adult",F814&lt;50,"Adult",F814&gt;=50,"Senior")</f>
        <v>Senior</v>
      </c>
      <c r="H814" s="4" t="s">
        <v>24</v>
      </c>
      <c r="I814" s="4">
        <v>3</v>
      </c>
      <c r="J814" s="11">
        <v>50</v>
      </c>
      <c r="K814" s="13">
        <f>I814*J814</f>
        <v>150</v>
      </c>
      <c r="L814" s="19">
        <f t="shared" si="37"/>
        <v>2.25</v>
      </c>
      <c r="M814" s="19">
        <f t="shared" si="38"/>
        <v>3</v>
      </c>
      <c r="N814" s="13" cm="1">
        <f t="array" ref="N814">_xlfn.IFS(C814=2023,K814*$P$2,C814=2024,K814*$P$3)</f>
        <v>2.25</v>
      </c>
    </row>
    <row r="815" spans="1:14">
      <c r="A815" s="2">
        <v>814</v>
      </c>
      <c r="B815" s="3">
        <v>45174</v>
      </c>
      <c r="C815" s="4">
        <f t="shared" si="36"/>
        <v>2023</v>
      </c>
      <c r="D815" s="4" t="s">
        <v>861</v>
      </c>
      <c r="E815" s="4" t="s">
        <v>20</v>
      </c>
      <c r="F815" s="4">
        <v>59</v>
      </c>
      <c r="G815" s="4" t="str" cm="1">
        <f t="array" ref="G815">_xlfn.IFS(F815&lt;30,"Young Adult",F815&lt;50,"Adult",F815&gt;=50,"Senior")</f>
        <v>Senior</v>
      </c>
      <c r="H815" s="4" t="s">
        <v>21</v>
      </c>
      <c r="I815" s="4">
        <v>1</v>
      </c>
      <c r="J815" s="11">
        <v>500</v>
      </c>
      <c r="K815" s="13">
        <f>I815*J815</f>
        <v>500</v>
      </c>
      <c r="L815" s="19">
        <f t="shared" si="37"/>
        <v>7.5</v>
      </c>
      <c r="M815" s="19">
        <f t="shared" si="38"/>
        <v>10</v>
      </c>
      <c r="N815" s="13" cm="1">
        <f t="array" ref="N815">_xlfn.IFS(C815=2023,K815*$P$2,C815=2024,K815*$P$3)</f>
        <v>7.5</v>
      </c>
    </row>
    <row r="816" spans="1:14">
      <c r="A816" s="2">
        <v>815</v>
      </c>
      <c r="B816" s="3">
        <v>45165</v>
      </c>
      <c r="C816" s="4">
        <f t="shared" si="36"/>
        <v>2023</v>
      </c>
      <c r="D816" s="4" t="s">
        <v>862</v>
      </c>
      <c r="E816" s="4" t="s">
        <v>20</v>
      </c>
      <c r="F816" s="4">
        <v>51</v>
      </c>
      <c r="G816" s="4" t="str" cm="1">
        <f t="array" ref="G816">_xlfn.IFS(F816&lt;30,"Young Adult",F816&lt;50,"Adult",F816&gt;=50,"Senior")</f>
        <v>Senior</v>
      </c>
      <c r="H816" s="4" t="s">
        <v>21</v>
      </c>
      <c r="I816" s="4">
        <v>3</v>
      </c>
      <c r="J816" s="11">
        <v>25</v>
      </c>
      <c r="K816" s="13">
        <f>I816*J816</f>
        <v>75</v>
      </c>
      <c r="L816" s="19">
        <f t="shared" si="37"/>
        <v>1.125</v>
      </c>
      <c r="M816" s="19">
        <f t="shared" si="38"/>
        <v>1.5</v>
      </c>
      <c r="N816" s="13" cm="1">
        <f t="array" ref="N816">_xlfn.IFS(C816=2023,K816*$P$2,C816=2024,K816*$P$3)</f>
        <v>1.125</v>
      </c>
    </row>
    <row r="817" spans="1:14">
      <c r="A817" s="2">
        <v>816</v>
      </c>
      <c r="B817" s="3">
        <v>45150</v>
      </c>
      <c r="C817" s="4">
        <f t="shared" si="36"/>
        <v>2023</v>
      </c>
      <c r="D817" s="4" t="s">
        <v>863</v>
      </c>
      <c r="E817" s="4" t="s">
        <v>16</v>
      </c>
      <c r="F817" s="4">
        <v>47</v>
      </c>
      <c r="G817" s="4" t="str" cm="1">
        <f t="array" ref="G817">_xlfn.IFS(F817&lt;30,"Young Adult",F817&lt;50,"Adult",F817&gt;=50,"Senior")</f>
        <v>Adult</v>
      </c>
      <c r="H817" s="4" t="s">
        <v>17</v>
      </c>
      <c r="I817" s="4">
        <v>2</v>
      </c>
      <c r="J817" s="11">
        <v>500</v>
      </c>
      <c r="K817" s="13">
        <f>I817*J817</f>
        <v>1000</v>
      </c>
      <c r="L817" s="19">
        <f t="shared" si="37"/>
        <v>15</v>
      </c>
      <c r="M817" s="19">
        <f t="shared" si="38"/>
        <v>20</v>
      </c>
      <c r="N817" s="13" cm="1">
        <f t="array" ref="N817">_xlfn.IFS(C817=2023,K817*$P$2,C817=2024,K817*$P$3)</f>
        <v>15</v>
      </c>
    </row>
    <row r="818" spans="1:14">
      <c r="A818" s="2">
        <v>817</v>
      </c>
      <c r="B818" s="3">
        <v>45230</v>
      </c>
      <c r="C818" s="4">
        <f t="shared" si="36"/>
        <v>2023</v>
      </c>
      <c r="D818" s="4" t="s">
        <v>864</v>
      </c>
      <c r="E818" s="4" t="s">
        <v>16</v>
      </c>
      <c r="F818" s="4">
        <v>30</v>
      </c>
      <c r="G818" s="4" t="str" cm="1">
        <f t="array" ref="G818">_xlfn.IFS(F818&lt;30,"Young Adult",F818&lt;50,"Adult",F818&gt;=50,"Senior")</f>
        <v>Adult</v>
      </c>
      <c r="H818" s="4" t="s">
        <v>17</v>
      </c>
      <c r="I818" s="4">
        <v>4</v>
      </c>
      <c r="J818" s="11">
        <v>50</v>
      </c>
      <c r="K818" s="13">
        <f>I818*J818</f>
        <v>200</v>
      </c>
      <c r="L818" s="19">
        <f t="shared" si="37"/>
        <v>3</v>
      </c>
      <c r="M818" s="19">
        <f t="shared" si="38"/>
        <v>4</v>
      </c>
      <c r="N818" s="13" cm="1">
        <f t="array" ref="N818">_xlfn.IFS(C818=2023,K818*$P$2,C818=2024,K818*$P$3)</f>
        <v>3</v>
      </c>
    </row>
    <row r="819" spans="1:14">
      <c r="A819" s="2">
        <v>818</v>
      </c>
      <c r="B819" s="3">
        <v>45064</v>
      </c>
      <c r="C819" s="4">
        <f t="shared" si="36"/>
        <v>2023</v>
      </c>
      <c r="D819" s="4" t="s">
        <v>865</v>
      </c>
      <c r="E819" s="4" t="s">
        <v>16</v>
      </c>
      <c r="F819" s="4">
        <v>30</v>
      </c>
      <c r="G819" s="4" t="str" cm="1">
        <f t="array" ref="G819">_xlfn.IFS(F819&lt;30,"Young Adult",F819&lt;50,"Adult",F819&gt;=50,"Senior")</f>
        <v>Adult</v>
      </c>
      <c r="H819" s="4" t="s">
        <v>24</v>
      </c>
      <c r="I819" s="4">
        <v>1</v>
      </c>
      <c r="J819" s="11">
        <v>500</v>
      </c>
      <c r="K819" s="13">
        <f>I819*J819</f>
        <v>500</v>
      </c>
      <c r="L819" s="19">
        <f t="shared" si="37"/>
        <v>7.5</v>
      </c>
      <c r="M819" s="19">
        <f t="shared" si="38"/>
        <v>10</v>
      </c>
      <c r="N819" s="13" cm="1">
        <f t="array" ref="N819">_xlfn.IFS(C819=2023,K819*$P$2,C819=2024,K819*$P$3)</f>
        <v>7.5</v>
      </c>
    </row>
    <row r="820" spans="1:14">
      <c r="A820" s="2">
        <v>819</v>
      </c>
      <c r="B820" s="3">
        <v>45092</v>
      </c>
      <c r="C820" s="4">
        <f t="shared" si="36"/>
        <v>2023</v>
      </c>
      <c r="D820" s="4" t="s">
        <v>866</v>
      </c>
      <c r="E820" s="4" t="s">
        <v>20</v>
      </c>
      <c r="F820" s="4">
        <v>35</v>
      </c>
      <c r="G820" s="4" t="str" cm="1">
        <f t="array" ref="G820">_xlfn.IFS(F820&lt;30,"Young Adult",F820&lt;50,"Adult",F820&gt;=50,"Senior")</f>
        <v>Adult</v>
      </c>
      <c r="H820" s="4" t="s">
        <v>17</v>
      </c>
      <c r="I820" s="4">
        <v>2</v>
      </c>
      <c r="J820" s="11">
        <v>50</v>
      </c>
      <c r="K820" s="13">
        <f>I820*J820</f>
        <v>100</v>
      </c>
      <c r="L820" s="19">
        <f t="shared" si="37"/>
        <v>1.5</v>
      </c>
      <c r="M820" s="19">
        <f t="shared" si="38"/>
        <v>2</v>
      </c>
      <c r="N820" s="13" cm="1">
        <f t="array" ref="N820">_xlfn.IFS(C820=2023,K820*$P$2,C820=2024,K820*$P$3)</f>
        <v>1.5</v>
      </c>
    </row>
    <row r="821" spans="1:14">
      <c r="A821" s="2">
        <v>820</v>
      </c>
      <c r="B821" s="3">
        <v>45052</v>
      </c>
      <c r="C821" s="4">
        <f t="shared" si="36"/>
        <v>2023</v>
      </c>
      <c r="D821" s="4" t="s">
        <v>867</v>
      </c>
      <c r="E821" s="4" t="s">
        <v>16</v>
      </c>
      <c r="F821" s="4">
        <v>49</v>
      </c>
      <c r="G821" s="4" t="str" cm="1">
        <f t="array" ref="G821">_xlfn.IFS(F821&lt;30,"Young Adult",F821&lt;50,"Adult",F821&gt;=50,"Senior")</f>
        <v>Adult</v>
      </c>
      <c r="H821" s="4" t="s">
        <v>24</v>
      </c>
      <c r="I821" s="4">
        <v>4</v>
      </c>
      <c r="J821" s="11">
        <v>50</v>
      </c>
      <c r="K821" s="13">
        <f>I821*J821</f>
        <v>200</v>
      </c>
      <c r="L821" s="19">
        <f t="shared" si="37"/>
        <v>3</v>
      </c>
      <c r="M821" s="19">
        <f t="shared" si="38"/>
        <v>4</v>
      </c>
      <c r="N821" s="13" cm="1">
        <f t="array" ref="N821">_xlfn.IFS(C821=2023,K821*$P$2,C821=2024,K821*$P$3)</f>
        <v>3</v>
      </c>
    </row>
    <row r="822" spans="1:14">
      <c r="A822" s="2">
        <v>821</v>
      </c>
      <c r="B822" s="3">
        <v>44971</v>
      </c>
      <c r="C822" s="4">
        <f t="shared" si="36"/>
        <v>2023</v>
      </c>
      <c r="D822" s="4" t="s">
        <v>868</v>
      </c>
      <c r="E822" s="4" t="s">
        <v>16</v>
      </c>
      <c r="F822" s="4">
        <v>49</v>
      </c>
      <c r="G822" s="4" t="str" cm="1">
        <f t="array" ref="G822">_xlfn.IFS(F822&lt;30,"Young Adult",F822&lt;50,"Adult",F822&gt;=50,"Senior")</f>
        <v>Adult</v>
      </c>
      <c r="H822" s="4" t="s">
        <v>24</v>
      </c>
      <c r="I822" s="4">
        <v>1</v>
      </c>
      <c r="J822" s="11">
        <v>300</v>
      </c>
      <c r="K822" s="13">
        <f>I822*J822</f>
        <v>300</v>
      </c>
      <c r="L822" s="19">
        <f t="shared" si="37"/>
        <v>4.5</v>
      </c>
      <c r="M822" s="19">
        <f t="shared" si="38"/>
        <v>6</v>
      </c>
      <c r="N822" s="13" cm="1">
        <f t="array" ref="N822">_xlfn.IFS(C822=2023,K822*$P$2,C822=2024,K822*$P$3)</f>
        <v>4.5</v>
      </c>
    </row>
    <row r="823" spans="1:14">
      <c r="A823" s="2">
        <v>822</v>
      </c>
      <c r="B823" s="3">
        <v>45069</v>
      </c>
      <c r="C823" s="4">
        <f t="shared" si="36"/>
        <v>2023</v>
      </c>
      <c r="D823" s="4" t="s">
        <v>869</v>
      </c>
      <c r="E823" s="4" t="s">
        <v>20</v>
      </c>
      <c r="F823" s="4">
        <v>52</v>
      </c>
      <c r="G823" s="4" t="str" cm="1">
        <f t="array" ref="G823">_xlfn.IFS(F823&lt;30,"Young Adult",F823&lt;50,"Adult",F823&gt;=50,"Senior")</f>
        <v>Senior</v>
      </c>
      <c r="H823" s="4" t="s">
        <v>17</v>
      </c>
      <c r="I823" s="4">
        <v>3</v>
      </c>
      <c r="J823" s="11">
        <v>50</v>
      </c>
      <c r="K823" s="13">
        <f>I823*J823</f>
        <v>150</v>
      </c>
      <c r="L823" s="19">
        <f t="shared" si="37"/>
        <v>2.25</v>
      </c>
      <c r="M823" s="19">
        <f t="shared" si="38"/>
        <v>3</v>
      </c>
      <c r="N823" s="13" cm="1">
        <f t="array" ref="N823">_xlfn.IFS(C823=2023,K823*$P$2,C823=2024,K823*$P$3)</f>
        <v>2.25</v>
      </c>
    </row>
    <row r="824" spans="1:14">
      <c r="A824" s="2">
        <v>823</v>
      </c>
      <c r="B824" s="3">
        <v>45157</v>
      </c>
      <c r="C824" s="4">
        <f t="shared" si="36"/>
        <v>2023</v>
      </c>
      <c r="D824" s="4" t="s">
        <v>870</v>
      </c>
      <c r="E824" s="4" t="s">
        <v>20</v>
      </c>
      <c r="F824" s="4">
        <v>56</v>
      </c>
      <c r="G824" s="4" t="str" cm="1">
        <f t="array" ref="G824">_xlfn.IFS(F824&lt;30,"Young Adult",F824&lt;50,"Adult",F824&gt;=50,"Senior")</f>
        <v>Senior</v>
      </c>
      <c r="H824" s="4" t="s">
        <v>24</v>
      </c>
      <c r="I824" s="4">
        <v>2</v>
      </c>
      <c r="J824" s="11">
        <v>50</v>
      </c>
      <c r="K824" s="13">
        <f>I824*J824</f>
        <v>100</v>
      </c>
      <c r="L824" s="19">
        <f t="shared" si="37"/>
        <v>1.5</v>
      </c>
      <c r="M824" s="19">
        <f t="shared" si="38"/>
        <v>2</v>
      </c>
      <c r="N824" s="13" cm="1">
        <f t="array" ref="N824">_xlfn.IFS(C824=2023,K824*$P$2,C824=2024,K824*$P$3)</f>
        <v>1.5</v>
      </c>
    </row>
    <row r="825" spans="1:14">
      <c r="A825" s="2">
        <v>824</v>
      </c>
      <c r="B825" s="3">
        <v>45051</v>
      </c>
      <c r="C825" s="4">
        <f t="shared" si="36"/>
        <v>2023</v>
      </c>
      <c r="D825" s="4" t="s">
        <v>871</v>
      </c>
      <c r="E825" s="4" t="s">
        <v>16</v>
      </c>
      <c r="F825" s="4">
        <v>63</v>
      </c>
      <c r="G825" s="4" t="str" cm="1">
        <f t="array" ref="G825">_xlfn.IFS(F825&lt;30,"Young Adult",F825&lt;50,"Adult",F825&gt;=50,"Senior")</f>
        <v>Senior</v>
      </c>
      <c r="H825" s="4" t="s">
        <v>21</v>
      </c>
      <c r="I825" s="4">
        <v>4</v>
      </c>
      <c r="J825" s="11">
        <v>30</v>
      </c>
      <c r="K825" s="13">
        <f>I825*J825</f>
        <v>120</v>
      </c>
      <c r="L825" s="19">
        <f t="shared" si="37"/>
        <v>1.7999999999999998</v>
      </c>
      <c r="M825" s="19">
        <f t="shared" si="38"/>
        <v>2.4</v>
      </c>
      <c r="N825" s="13" cm="1">
        <f t="array" ref="N825">_xlfn.IFS(C825=2023,K825*$P$2,C825=2024,K825*$P$3)</f>
        <v>1.7999999999999998</v>
      </c>
    </row>
    <row r="826" spans="1:14">
      <c r="A826" s="2">
        <v>825</v>
      </c>
      <c r="B826" s="3">
        <v>45164</v>
      </c>
      <c r="C826" s="4">
        <f t="shared" si="36"/>
        <v>2023</v>
      </c>
      <c r="D826" s="4" t="s">
        <v>872</v>
      </c>
      <c r="E826" s="4" t="s">
        <v>20</v>
      </c>
      <c r="F826" s="4">
        <v>46</v>
      </c>
      <c r="G826" s="4" t="str" cm="1">
        <f t="array" ref="G826">_xlfn.IFS(F826&lt;30,"Young Adult",F826&lt;50,"Adult",F826&gt;=50,"Senior")</f>
        <v>Adult</v>
      </c>
      <c r="H826" s="4" t="s">
        <v>17</v>
      </c>
      <c r="I826" s="4">
        <v>1</v>
      </c>
      <c r="J826" s="11">
        <v>25</v>
      </c>
      <c r="K826" s="13">
        <f>I826*J826</f>
        <v>25</v>
      </c>
      <c r="L826" s="19">
        <f t="shared" si="37"/>
        <v>0.375</v>
      </c>
      <c r="M826" s="19">
        <f t="shared" si="38"/>
        <v>0.5</v>
      </c>
      <c r="N826" s="13" cm="1">
        <f t="array" ref="N826">_xlfn.IFS(C826=2023,K826*$P$2,C826=2024,K826*$P$3)</f>
        <v>0.375</v>
      </c>
    </row>
    <row r="827" spans="1:14">
      <c r="A827" s="2">
        <v>826</v>
      </c>
      <c r="B827" s="3">
        <v>45218</v>
      </c>
      <c r="C827" s="4">
        <f t="shared" si="36"/>
        <v>2023</v>
      </c>
      <c r="D827" s="4" t="s">
        <v>873</v>
      </c>
      <c r="E827" s="4" t="s">
        <v>20</v>
      </c>
      <c r="F827" s="4">
        <v>46</v>
      </c>
      <c r="G827" s="4" t="str" cm="1">
        <f t="array" ref="G827">_xlfn.IFS(F827&lt;30,"Young Adult",F827&lt;50,"Adult",F827&gt;=50,"Senior")</f>
        <v>Adult</v>
      </c>
      <c r="H827" s="4" t="s">
        <v>21</v>
      </c>
      <c r="I827" s="4">
        <v>1</v>
      </c>
      <c r="J827" s="11">
        <v>300</v>
      </c>
      <c r="K827" s="13">
        <f>I827*J827</f>
        <v>300</v>
      </c>
      <c r="L827" s="19">
        <f t="shared" si="37"/>
        <v>4.5</v>
      </c>
      <c r="M827" s="19">
        <f t="shared" si="38"/>
        <v>6</v>
      </c>
      <c r="N827" s="13" cm="1">
        <f t="array" ref="N827">_xlfn.IFS(C827=2023,K827*$P$2,C827=2024,K827*$P$3)</f>
        <v>4.5</v>
      </c>
    </row>
    <row r="828" spans="1:14">
      <c r="A828" s="2">
        <v>827</v>
      </c>
      <c r="B828" s="3">
        <v>45239</v>
      </c>
      <c r="C828" s="4">
        <f t="shared" si="36"/>
        <v>2023</v>
      </c>
      <c r="D828" s="4" t="s">
        <v>874</v>
      </c>
      <c r="E828" s="4" t="s">
        <v>16</v>
      </c>
      <c r="F828" s="4">
        <v>61</v>
      </c>
      <c r="G828" s="4" t="str" cm="1">
        <f t="array" ref="G828">_xlfn.IFS(F828&lt;30,"Young Adult",F828&lt;50,"Adult",F828&gt;=50,"Senior")</f>
        <v>Senior</v>
      </c>
      <c r="H828" s="4" t="s">
        <v>17</v>
      </c>
      <c r="I828" s="4">
        <v>3</v>
      </c>
      <c r="J828" s="11">
        <v>300</v>
      </c>
      <c r="K828" s="13">
        <f>I828*J828</f>
        <v>900</v>
      </c>
      <c r="L828" s="19">
        <f t="shared" si="37"/>
        <v>13.5</v>
      </c>
      <c r="M828" s="19">
        <f t="shared" si="38"/>
        <v>18</v>
      </c>
      <c r="N828" s="13" cm="1">
        <f t="array" ref="N828">_xlfn.IFS(C828=2023,K828*$P$2,C828=2024,K828*$P$3)</f>
        <v>13.5</v>
      </c>
    </row>
    <row r="829" spans="1:14">
      <c r="A829" s="2">
        <v>828</v>
      </c>
      <c r="B829" s="3">
        <v>45269</v>
      </c>
      <c r="C829" s="4">
        <f t="shared" si="36"/>
        <v>2023</v>
      </c>
      <c r="D829" s="4" t="s">
        <v>875</v>
      </c>
      <c r="E829" s="4" t="s">
        <v>20</v>
      </c>
      <c r="F829" s="4">
        <v>33</v>
      </c>
      <c r="G829" s="4" t="str" cm="1">
        <f t="array" ref="G829">_xlfn.IFS(F829&lt;30,"Young Adult",F829&lt;50,"Adult",F829&gt;=50,"Senior")</f>
        <v>Adult</v>
      </c>
      <c r="H829" s="4" t="s">
        <v>24</v>
      </c>
      <c r="I829" s="4">
        <v>4</v>
      </c>
      <c r="J829" s="11">
        <v>300</v>
      </c>
      <c r="K829" s="13">
        <f>I829*J829</f>
        <v>1200</v>
      </c>
      <c r="L829" s="19">
        <f t="shared" si="37"/>
        <v>18</v>
      </c>
      <c r="M829" s="19">
        <f t="shared" si="38"/>
        <v>24</v>
      </c>
      <c r="N829" s="13" cm="1">
        <f t="array" ref="N829">_xlfn.IFS(C829=2023,K829*$P$2,C829=2024,K829*$P$3)</f>
        <v>18</v>
      </c>
    </row>
    <row r="830" spans="1:14">
      <c r="A830" s="2">
        <v>829</v>
      </c>
      <c r="B830" s="3">
        <v>45121</v>
      </c>
      <c r="C830" s="4">
        <f t="shared" si="36"/>
        <v>2023</v>
      </c>
      <c r="D830" s="4" t="s">
        <v>876</v>
      </c>
      <c r="E830" s="4" t="s">
        <v>16</v>
      </c>
      <c r="F830" s="4">
        <v>61</v>
      </c>
      <c r="G830" s="4" t="str" cm="1">
        <f t="array" ref="G830">_xlfn.IFS(F830&lt;30,"Young Adult",F830&lt;50,"Adult",F830&gt;=50,"Senior")</f>
        <v>Senior</v>
      </c>
      <c r="H830" s="4" t="s">
        <v>17</v>
      </c>
      <c r="I830" s="4">
        <v>3</v>
      </c>
      <c r="J830" s="11">
        <v>30</v>
      </c>
      <c r="K830" s="13">
        <f>I830*J830</f>
        <v>90</v>
      </c>
      <c r="L830" s="19">
        <f t="shared" si="37"/>
        <v>1.3499999999999999</v>
      </c>
      <c r="M830" s="19">
        <f t="shared" si="38"/>
        <v>1.8</v>
      </c>
      <c r="N830" s="13" cm="1">
        <f t="array" ref="N830">_xlfn.IFS(C830=2023,K830*$P$2,C830=2024,K830*$P$3)</f>
        <v>1.3499999999999999</v>
      </c>
    </row>
    <row r="831" spans="1:14">
      <c r="A831" s="2">
        <v>830</v>
      </c>
      <c r="B831" s="3">
        <v>45099</v>
      </c>
      <c r="C831" s="4">
        <f t="shared" si="36"/>
        <v>2023</v>
      </c>
      <c r="D831" s="4" t="s">
        <v>877</v>
      </c>
      <c r="E831" s="4" t="s">
        <v>20</v>
      </c>
      <c r="F831" s="4">
        <v>64</v>
      </c>
      <c r="G831" s="4" t="str" cm="1">
        <f t="array" ref="G831">_xlfn.IFS(F831&lt;30,"Young Adult",F831&lt;50,"Adult",F831&gt;=50,"Senior")</f>
        <v>Senior</v>
      </c>
      <c r="H831" s="4" t="s">
        <v>21</v>
      </c>
      <c r="I831" s="4">
        <v>3</v>
      </c>
      <c r="J831" s="11">
        <v>50</v>
      </c>
      <c r="K831" s="13">
        <f>I831*J831</f>
        <v>150</v>
      </c>
      <c r="L831" s="19">
        <f t="shared" si="37"/>
        <v>2.25</v>
      </c>
      <c r="M831" s="19">
        <f t="shared" si="38"/>
        <v>3</v>
      </c>
      <c r="N831" s="13" cm="1">
        <f t="array" ref="N831">_xlfn.IFS(C831=2023,K831*$P$2,C831=2024,K831*$P$3)</f>
        <v>2.25</v>
      </c>
    </row>
    <row r="832" spans="1:14">
      <c r="A832" s="2">
        <v>831</v>
      </c>
      <c r="B832" s="3">
        <v>44941</v>
      </c>
      <c r="C832" s="4">
        <f t="shared" si="36"/>
        <v>2023</v>
      </c>
      <c r="D832" s="4" t="s">
        <v>878</v>
      </c>
      <c r="E832" s="4" t="s">
        <v>16</v>
      </c>
      <c r="F832" s="4">
        <v>27</v>
      </c>
      <c r="G832" s="4" t="str" cm="1">
        <f t="array" ref="G832">_xlfn.IFS(F832&lt;30,"Young Adult",F832&lt;50,"Adult",F832&gt;=50,"Senior")</f>
        <v>Young Adult</v>
      </c>
      <c r="H832" s="4" t="s">
        <v>24</v>
      </c>
      <c r="I832" s="4">
        <v>4</v>
      </c>
      <c r="J832" s="11">
        <v>25</v>
      </c>
      <c r="K832" s="13">
        <f>I832*J832</f>
        <v>100</v>
      </c>
      <c r="L832" s="19">
        <f t="shared" si="37"/>
        <v>1.5</v>
      </c>
      <c r="M832" s="19">
        <f t="shared" si="38"/>
        <v>2</v>
      </c>
      <c r="N832" s="13" cm="1">
        <f t="array" ref="N832">_xlfn.IFS(C832=2023,K832*$P$2,C832=2024,K832*$P$3)</f>
        <v>1.5</v>
      </c>
    </row>
    <row r="833" spans="1:14">
      <c r="A833" s="2">
        <v>832</v>
      </c>
      <c r="B833" s="3">
        <v>45180</v>
      </c>
      <c r="C833" s="4">
        <f t="shared" si="36"/>
        <v>2023</v>
      </c>
      <c r="D833" s="4" t="s">
        <v>879</v>
      </c>
      <c r="E833" s="4" t="s">
        <v>16</v>
      </c>
      <c r="F833" s="4">
        <v>47</v>
      </c>
      <c r="G833" s="4" t="str" cm="1">
        <f t="array" ref="G833">_xlfn.IFS(F833&lt;30,"Young Adult",F833&lt;50,"Adult",F833&gt;=50,"Senior")</f>
        <v>Adult</v>
      </c>
      <c r="H833" s="4" t="s">
        <v>17</v>
      </c>
      <c r="I833" s="4">
        <v>4</v>
      </c>
      <c r="J833" s="11">
        <v>500</v>
      </c>
      <c r="K833" s="13">
        <f>I833*J833</f>
        <v>2000</v>
      </c>
      <c r="L833" s="19">
        <f t="shared" si="37"/>
        <v>30</v>
      </c>
      <c r="M833" s="19">
        <f t="shared" si="38"/>
        <v>40</v>
      </c>
      <c r="N833" s="13" cm="1">
        <f t="array" ref="N833">_xlfn.IFS(C833=2023,K833*$P$2,C833=2024,K833*$P$3)</f>
        <v>30</v>
      </c>
    </row>
    <row r="834" spans="1:14">
      <c r="A834" s="2">
        <v>833</v>
      </c>
      <c r="B834" s="3">
        <v>45093</v>
      </c>
      <c r="C834" s="4">
        <f t="shared" si="36"/>
        <v>2023</v>
      </c>
      <c r="D834" s="4" t="s">
        <v>880</v>
      </c>
      <c r="E834" s="4" t="s">
        <v>16</v>
      </c>
      <c r="F834" s="4">
        <v>42</v>
      </c>
      <c r="G834" s="4" t="str" cm="1">
        <f t="array" ref="G834">_xlfn.IFS(F834&lt;30,"Young Adult",F834&lt;50,"Adult",F834&gt;=50,"Senior")</f>
        <v>Adult</v>
      </c>
      <c r="H834" s="4" t="s">
        <v>17</v>
      </c>
      <c r="I834" s="4">
        <v>4</v>
      </c>
      <c r="J834" s="11">
        <v>50</v>
      </c>
      <c r="K834" s="13">
        <f>I834*J834</f>
        <v>200</v>
      </c>
      <c r="L834" s="19">
        <f t="shared" si="37"/>
        <v>3</v>
      </c>
      <c r="M834" s="19">
        <f t="shared" si="38"/>
        <v>4</v>
      </c>
      <c r="N834" s="13" cm="1">
        <f t="array" ref="N834">_xlfn.IFS(C834=2023,K834*$P$2,C834=2024,K834*$P$3)</f>
        <v>3</v>
      </c>
    </row>
    <row r="835" spans="1:14">
      <c r="A835" s="2">
        <v>834</v>
      </c>
      <c r="B835" s="3">
        <v>45020</v>
      </c>
      <c r="C835" s="4">
        <f t="shared" ref="C835:C898" si="39">YEAR(B835)</f>
        <v>2023</v>
      </c>
      <c r="D835" s="4" t="s">
        <v>881</v>
      </c>
      <c r="E835" s="4" t="s">
        <v>20</v>
      </c>
      <c r="F835" s="4">
        <v>56</v>
      </c>
      <c r="G835" s="4" t="str" cm="1">
        <f t="array" ref="G835">_xlfn.IFS(F835&lt;30,"Young Adult",F835&lt;50,"Adult",F835&gt;=50,"Senior")</f>
        <v>Senior</v>
      </c>
      <c r="H835" s="4" t="s">
        <v>17</v>
      </c>
      <c r="I835" s="4">
        <v>2</v>
      </c>
      <c r="J835" s="11">
        <v>30</v>
      </c>
      <c r="K835" s="13">
        <f>I835*J835</f>
        <v>60</v>
      </c>
      <c r="L835" s="19">
        <f t="shared" ref="L835:L898" si="40">K835*$P$2</f>
        <v>0.89999999999999991</v>
      </c>
      <c r="M835" s="19">
        <f t="shared" ref="M835:M898" si="41">K835*$P$3</f>
        <v>1.2</v>
      </c>
      <c r="N835" s="13" cm="1">
        <f t="array" ref="N835">_xlfn.IFS(C835=2023,K835*$P$2,C835=2024,K835*$P$3)</f>
        <v>0.89999999999999991</v>
      </c>
    </row>
    <row r="836" spans="1:14">
      <c r="A836" s="2">
        <v>835</v>
      </c>
      <c r="B836" s="3">
        <v>45176</v>
      </c>
      <c r="C836" s="4">
        <f t="shared" si="39"/>
        <v>2023</v>
      </c>
      <c r="D836" s="4" t="s">
        <v>882</v>
      </c>
      <c r="E836" s="4" t="s">
        <v>16</v>
      </c>
      <c r="F836" s="4">
        <v>37</v>
      </c>
      <c r="G836" s="4" t="str" cm="1">
        <f t="array" ref="G836">_xlfn.IFS(F836&lt;30,"Young Adult",F836&lt;50,"Adult",F836&gt;=50,"Senior")</f>
        <v>Adult</v>
      </c>
      <c r="H836" s="4" t="s">
        <v>21</v>
      </c>
      <c r="I836" s="4">
        <v>4</v>
      </c>
      <c r="J836" s="11">
        <v>50</v>
      </c>
      <c r="K836" s="13">
        <f>I836*J836</f>
        <v>200</v>
      </c>
      <c r="L836" s="19">
        <f t="shared" si="40"/>
        <v>3</v>
      </c>
      <c r="M836" s="19">
        <f t="shared" si="41"/>
        <v>4</v>
      </c>
      <c r="N836" s="13" cm="1">
        <f t="array" ref="N836">_xlfn.IFS(C836=2023,K836*$P$2,C836=2024,K836*$P$3)</f>
        <v>3</v>
      </c>
    </row>
    <row r="837" spans="1:14">
      <c r="A837" s="2">
        <v>836</v>
      </c>
      <c r="B837" s="3">
        <v>45035</v>
      </c>
      <c r="C837" s="4">
        <f t="shared" si="39"/>
        <v>2023</v>
      </c>
      <c r="D837" s="4" t="s">
        <v>883</v>
      </c>
      <c r="E837" s="4" t="s">
        <v>20</v>
      </c>
      <c r="F837" s="4">
        <v>22</v>
      </c>
      <c r="G837" s="4" t="str" cm="1">
        <f t="array" ref="G837">_xlfn.IFS(F837&lt;30,"Young Adult",F837&lt;50,"Adult",F837&gt;=50,"Senior")</f>
        <v>Young Adult</v>
      </c>
      <c r="H837" s="4" t="s">
        <v>21</v>
      </c>
      <c r="I837" s="4">
        <v>1</v>
      </c>
      <c r="J837" s="11">
        <v>50</v>
      </c>
      <c r="K837" s="13">
        <f>I837*J837</f>
        <v>50</v>
      </c>
      <c r="L837" s="19">
        <f t="shared" si="40"/>
        <v>0.75</v>
      </c>
      <c r="M837" s="19">
        <f t="shared" si="41"/>
        <v>1</v>
      </c>
      <c r="N837" s="13" cm="1">
        <f t="array" ref="N837">_xlfn.IFS(C837=2023,K837*$P$2,C837=2024,K837*$P$3)</f>
        <v>0.75</v>
      </c>
    </row>
    <row r="838" spans="1:14">
      <c r="A838" s="2">
        <v>837</v>
      </c>
      <c r="B838" s="3">
        <v>45108</v>
      </c>
      <c r="C838" s="4">
        <f t="shared" si="39"/>
        <v>2023</v>
      </c>
      <c r="D838" s="4" t="s">
        <v>884</v>
      </c>
      <c r="E838" s="4" t="s">
        <v>16</v>
      </c>
      <c r="F838" s="4">
        <v>18</v>
      </c>
      <c r="G838" s="4" t="str" cm="1">
        <f t="array" ref="G838">_xlfn.IFS(F838&lt;30,"Young Adult",F838&lt;50,"Adult",F838&gt;=50,"Senior")</f>
        <v>Young Adult</v>
      </c>
      <c r="H838" s="4" t="s">
        <v>17</v>
      </c>
      <c r="I838" s="4">
        <v>3</v>
      </c>
      <c r="J838" s="11">
        <v>30</v>
      </c>
      <c r="K838" s="13">
        <f>I838*J838</f>
        <v>90</v>
      </c>
      <c r="L838" s="19">
        <f t="shared" si="40"/>
        <v>1.3499999999999999</v>
      </c>
      <c r="M838" s="19">
        <f t="shared" si="41"/>
        <v>1.8</v>
      </c>
      <c r="N838" s="13" cm="1">
        <f t="array" ref="N838">_xlfn.IFS(C838=2023,K838*$P$2,C838=2024,K838*$P$3)</f>
        <v>1.3499999999999999</v>
      </c>
    </row>
    <row r="839" spans="1:14">
      <c r="A839" s="2">
        <v>838</v>
      </c>
      <c r="B839" s="3">
        <v>45059</v>
      </c>
      <c r="C839" s="4">
        <f t="shared" si="39"/>
        <v>2023</v>
      </c>
      <c r="D839" s="4" t="s">
        <v>885</v>
      </c>
      <c r="E839" s="4" t="s">
        <v>16</v>
      </c>
      <c r="F839" s="4">
        <v>47</v>
      </c>
      <c r="G839" s="4" t="str" cm="1">
        <f t="array" ref="G839">_xlfn.IFS(F839&lt;30,"Young Adult",F839&lt;50,"Adult",F839&gt;=50,"Senior")</f>
        <v>Adult</v>
      </c>
      <c r="H839" s="4" t="s">
        <v>24</v>
      </c>
      <c r="I839" s="4">
        <v>2</v>
      </c>
      <c r="J839" s="11">
        <v>300</v>
      </c>
      <c r="K839" s="13">
        <f>I839*J839</f>
        <v>600</v>
      </c>
      <c r="L839" s="19">
        <f t="shared" si="40"/>
        <v>9</v>
      </c>
      <c r="M839" s="19">
        <f t="shared" si="41"/>
        <v>12</v>
      </c>
      <c r="N839" s="13" cm="1">
        <f t="array" ref="N839">_xlfn.IFS(C839=2023,K839*$P$2,C839=2024,K839*$P$3)</f>
        <v>9</v>
      </c>
    </row>
    <row r="840" spans="1:14">
      <c r="A840" s="2">
        <v>839</v>
      </c>
      <c r="B840" s="3">
        <v>45101</v>
      </c>
      <c r="C840" s="4">
        <f t="shared" si="39"/>
        <v>2023</v>
      </c>
      <c r="D840" s="4" t="s">
        <v>886</v>
      </c>
      <c r="E840" s="4" t="s">
        <v>20</v>
      </c>
      <c r="F840" s="4">
        <v>20</v>
      </c>
      <c r="G840" s="4" t="str" cm="1">
        <f t="array" ref="G840">_xlfn.IFS(F840&lt;30,"Young Adult",F840&lt;50,"Adult",F840&gt;=50,"Senior")</f>
        <v>Young Adult</v>
      </c>
      <c r="H840" s="4" t="s">
        <v>24</v>
      </c>
      <c r="I840" s="4">
        <v>4</v>
      </c>
      <c r="J840" s="11">
        <v>300</v>
      </c>
      <c r="K840" s="13">
        <f>I840*J840</f>
        <v>1200</v>
      </c>
      <c r="L840" s="19">
        <f t="shared" si="40"/>
        <v>18</v>
      </c>
      <c r="M840" s="19">
        <f t="shared" si="41"/>
        <v>24</v>
      </c>
      <c r="N840" s="13" cm="1">
        <f t="array" ref="N840">_xlfn.IFS(C840=2023,K840*$P$2,C840=2024,K840*$P$3)</f>
        <v>18</v>
      </c>
    </row>
    <row r="841" spans="1:14">
      <c r="A841" s="2">
        <v>840</v>
      </c>
      <c r="B841" s="3">
        <v>45070</v>
      </c>
      <c r="C841" s="4">
        <f t="shared" si="39"/>
        <v>2023</v>
      </c>
      <c r="D841" s="4" t="s">
        <v>887</v>
      </c>
      <c r="E841" s="4" t="s">
        <v>16</v>
      </c>
      <c r="F841" s="4">
        <v>62</v>
      </c>
      <c r="G841" s="4" t="str" cm="1">
        <f t="array" ref="G841">_xlfn.IFS(F841&lt;30,"Young Adult",F841&lt;50,"Adult",F841&gt;=50,"Senior")</f>
        <v>Senior</v>
      </c>
      <c r="H841" s="4" t="s">
        <v>21</v>
      </c>
      <c r="I841" s="4">
        <v>2</v>
      </c>
      <c r="J841" s="11">
        <v>25</v>
      </c>
      <c r="K841" s="13">
        <f>I841*J841</f>
        <v>50</v>
      </c>
      <c r="L841" s="19">
        <f t="shared" si="40"/>
        <v>0.75</v>
      </c>
      <c r="M841" s="19">
        <f t="shared" si="41"/>
        <v>1</v>
      </c>
      <c r="N841" s="13" cm="1">
        <f t="array" ref="N841">_xlfn.IFS(C841=2023,K841*$P$2,C841=2024,K841*$P$3)</f>
        <v>0.75</v>
      </c>
    </row>
    <row r="842" spans="1:14">
      <c r="A842" s="2">
        <v>841</v>
      </c>
      <c r="B842" s="3">
        <v>45232</v>
      </c>
      <c r="C842" s="4">
        <f t="shared" si="39"/>
        <v>2023</v>
      </c>
      <c r="D842" s="4" t="s">
        <v>888</v>
      </c>
      <c r="E842" s="4" t="s">
        <v>16</v>
      </c>
      <c r="F842" s="4">
        <v>31</v>
      </c>
      <c r="G842" s="4" t="str" cm="1">
        <f t="array" ref="G842">_xlfn.IFS(F842&lt;30,"Young Adult",F842&lt;50,"Adult",F842&gt;=50,"Senior")</f>
        <v>Adult</v>
      </c>
      <c r="H842" s="4" t="s">
        <v>24</v>
      </c>
      <c r="I842" s="4">
        <v>4</v>
      </c>
      <c r="J842" s="11">
        <v>25</v>
      </c>
      <c r="K842" s="13">
        <f>I842*J842</f>
        <v>100</v>
      </c>
      <c r="L842" s="19">
        <f t="shared" si="40"/>
        <v>1.5</v>
      </c>
      <c r="M842" s="19">
        <f t="shared" si="41"/>
        <v>2</v>
      </c>
      <c r="N842" s="13" cm="1">
        <f t="array" ref="N842">_xlfn.IFS(C842=2023,K842*$P$2,C842=2024,K842*$P$3)</f>
        <v>1.5</v>
      </c>
    </row>
    <row r="843" spans="1:14">
      <c r="A843" s="2">
        <v>842</v>
      </c>
      <c r="B843" s="3">
        <v>45286</v>
      </c>
      <c r="C843" s="4">
        <f t="shared" si="39"/>
        <v>2023</v>
      </c>
      <c r="D843" s="4" t="s">
        <v>889</v>
      </c>
      <c r="E843" s="4" t="s">
        <v>20</v>
      </c>
      <c r="F843" s="4">
        <v>47</v>
      </c>
      <c r="G843" s="4" t="str" cm="1">
        <f t="array" ref="G843">_xlfn.IFS(F843&lt;30,"Young Adult",F843&lt;50,"Adult",F843&gt;=50,"Senior")</f>
        <v>Adult</v>
      </c>
      <c r="H843" s="4" t="s">
        <v>21</v>
      </c>
      <c r="I843" s="4">
        <v>2</v>
      </c>
      <c r="J843" s="11">
        <v>300</v>
      </c>
      <c r="K843" s="13">
        <f>I843*J843</f>
        <v>600</v>
      </c>
      <c r="L843" s="19">
        <f t="shared" si="40"/>
        <v>9</v>
      </c>
      <c r="M843" s="19">
        <f t="shared" si="41"/>
        <v>12</v>
      </c>
      <c r="N843" s="13" cm="1">
        <f t="array" ref="N843">_xlfn.IFS(C843=2023,K843*$P$2,C843=2024,K843*$P$3)</f>
        <v>9</v>
      </c>
    </row>
    <row r="844" spans="1:14">
      <c r="A844" s="2">
        <v>843</v>
      </c>
      <c r="B844" s="3">
        <v>45068</v>
      </c>
      <c r="C844" s="4">
        <f t="shared" si="39"/>
        <v>2023</v>
      </c>
      <c r="D844" s="4" t="s">
        <v>890</v>
      </c>
      <c r="E844" s="4" t="s">
        <v>16</v>
      </c>
      <c r="F844" s="4">
        <v>21</v>
      </c>
      <c r="G844" s="4" t="str" cm="1">
        <f t="array" ref="G844">_xlfn.IFS(F844&lt;30,"Young Adult",F844&lt;50,"Adult",F844&gt;=50,"Senior")</f>
        <v>Young Adult</v>
      </c>
      <c r="H844" s="4" t="s">
        <v>17</v>
      </c>
      <c r="I844" s="4">
        <v>3</v>
      </c>
      <c r="J844" s="11">
        <v>500</v>
      </c>
      <c r="K844" s="13">
        <f>I844*J844</f>
        <v>1500</v>
      </c>
      <c r="L844" s="19">
        <f t="shared" si="40"/>
        <v>22.5</v>
      </c>
      <c r="M844" s="19">
        <f t="shared" si="41"/>
        <v>30</v>
      </c>
      <c r="N844" s="13" cm="1">
        <f t="array" ref="N844">_xlfn.IFS(C844=2023,K844*$P$2,C844=2024,K844*$P$3)</f>
        <v>22.5</v>
      </c>
    </row>
    <row r="845" spans="1:14">
      <c r="A845" s="2">
        <v>844</v>
      </c>
      <c r="B845" s="3">
        <v>45211</v>
      </c>
      <c r="C845" s="4">
        <f t="shared" si="39"/>
        <v>2023</v>
      </c>
      <c r="D845" s="4" t="s">
        <v>891</v>
      </c>
      <c r="E845" s="4" t="s">
        <v>16</v>
      </c>
      <c r="F845" s="4">
        <v>35</v>
      </c>
      <c r="G845" s="4" t="str" cm="1">
        <f t="array" ref="G845">_xlfn.IFS(F845&lt;30,"Young Adult",F845&lt;50,"Adult",F845&gt;=50,"Senior")</f>
        <v>Adult</v>
      </c>
      <c r="H845" s="4" t="s">
        <v>21</v>
      </c>
      <c r="I845" s="4">
        <v>3</v>
      </c>
      <c r="J845" s="11">
        <v>50</v>
      </c>
      <c r="K845" s="13">
        <f>I845*J845</f>
        <v>150</v>
      </c>
      <c r="L845" s="19">
        <f t="shared" si="40"/>
        <v>2.25</v>
      </c>
      <c r="M845" s="19">
        <f t="shared" si="41"/>
        <v>3</v>
      </c>
      <c r="N845" s="13" cm="1">
        <f t="array" ref="N845">_xlfn.IFS(C845=2023,K845*$P$2,C845=2024,K845*$P$3)</f>
        <v>2.25</v>
      </c>
    </row>
    <row r="846" spans="1:14">
      <c r="A846" s="2">
        <v>845</v>
      </c>
      <c r="B846" s="3">
        <v>44932</v>
      </c>
      <c r="C846" s="4">
        <f t="shared" si="39"/>
        <v>2023</v>
      </c>
      <c r="D846" s="4" t="s">
        <v>892</v>
      </c>
      <c r="E846" s="4" t="s">
        <v>16</v>
      </c>
      <c r="F846" s="4">
        <v>54</v>
      </c>
      <c r="G846" s="4" t="str" cm="1">
        <f t="array" ref="G846">_xlfn.IFS(F846&lt;30,"Young Adult",F846&lt;50,"Adult",F846&gt;=50,"Senior")</f>
        <v>Senior</v>
      </c>
      <c r="H846" s="4" t="s">
        <v>21</v>
      </c>
      <c r="I846" s="4">
        <v>1</v>
      </c>
      <c r="J846" s="11">
        <v>500</v>
      </c>
      <c r="K846" s="13">
        <f>I846*J846</f>
        <v>500</v>
      </c>
      <c r="L846" s="19">
        <f t="shared" si="40"/>
        <v>7.5</v>
      </c>
      <c r="M846" s="19">
        <f t="shared" si="41"/>
        <v>10</v>
      </c>
      <c r="N846" s="13" cm="1">
        <f t="array" ref="N846">_xlfn.IFS(C846=2023,K846*$P$2,C846=2024,K846*$P$3)</f>
        <v>7.5</v>
      </c>
    </row>
    <row r="847" spans="1:14">
      <c r="A847" s="2">
        <v>846</v>
      </c>
      <c r="B847" s="3">
        <v>45191</v>
      </c>
      <c r="C847" s="4">
        <f t="shared" si="39"/>
        <v>2023</v>
      </c>
      <c r="D847" s="4" t="s">
        <v>893</v>
      </c>
      <c r="E847" s="4" t="s">
        <v>16</v>
      </c>
      <c r="F847" s="4">
        <v>42</v>
      </c>
      <c r="G847" s="4" t="str" cm="1">
        <f t="array" ref="G847">_xlfn.IFS(F847&lt;30,"Young Adult",F847&lt;50,"Adult",F847&gt;=50,"Senior")</f>
        <v>Adult</v>
      </c>
      <c r="H847" s="4" t="s">
        <v>17</v>
      </c>
      <c r="I847" s="4">
        <v>1</v>
      </c>
      <c r="J847" s="11">
        <v>50</v>
      </c>
      <c r="K847" s="13">
        <f>I847*J847</f>
        <v>50</v>
      </c>
      <c r="L847" s="19">
        <f t="shared" si="40"/>
        <v>0.75</v>
      </c>
      <c r="M847" s="19">
        <f t="shared" si="41"/>
        <v>1</v>
      </c>
      <c r="N847" s="13" cm="1">
        <f t="array" ref="N847">_xlfn.IFS(C847=2023,K847*$P$2,C847=2024,K847*$P$3)</f>
        <v>0.75</v>
      </c>
    </row>
    <row r="848" spans="1:14">
      <c r="A848" s="2">
        <v>847</v>
      </c>
      <c r="B848" s="3">
        <v>45024</v>
      </c>
      <c r="C848" s="4">
        <f t="shared" si="39"/>
        <v>2023</v>
      </c>
      <c r="D848" s="4" t="s">
        <v>894</v>
      </c>
      <c r="E848" s="4" t="s">
        <v>20</v>
      </c>
      <c r="F848" s="4">
        <v>18</v>
      </c>
      <c r="G848" s="4" t="str" cm="1">
        <f t="array" ref="G848">_xlfn.IFS(F848&lt;30,"Young Adult",F848&lt;50,"Adult",F848&gt;=50,"Senior")</f>
        <v>Young Adult</v>
      </c>
      <c r="H848" s="4" t="s">
        <v>24</v>
      </c>
      <c r="I848" s="4">
        <v>4</v>
      </c>
      <c r="J848" s="11">
        <v>300</v>
      </c>
      <c r="K848" s="13">
        <f>I848*J848</f>
        <v>1200</v>
      </c>
      <c r="L848" s="19">
        <f t="shared" si="40"/>
        <v>18</v>
      </c>
      <c r="M848" s="19">
        <f t="shared" si="41"/>
        <v>24</v>
      </c>
      <c r="N848" s="13" cm="1">
        <f t="array" ref="N848">_xlfn.IFS(C848=2023,K848*$P$2,C848=2024,K848*$P$3)</f>
        <v>18</v>
      </c>
    </row>
    <row r="849" spans="1:14">
      <c r="A849" s="2">
        <v>848</v>
      </c>
      <c r="B849" s="3">
        <v>44970</v>
      </c>
      <c r="C849" s="4">
        <f t="shared" si="39"/>
        <v>2023</v>
      </c>
      <c r="D849" s="4" t="s">
        <v>895</v>
      </c>
      <c r="E849" s="4" t="s">
        <v>20</v>
      </c>
      <c r="F849" s="4">
        <v>63</v>
      </c>
      <c r="G849" s="4" t="str" cm="1">
        <f t="array" ref="G849">_xlfn.IFS(F849&lt;30,"Young Adult",F849&lt;50,"Adult",F849&gt;=50,"Senior")</f>
        <v>Senior</v>
      </c>
      <c r="H849" s="4" t="s">
        <v>21</v>
      </c>
      <c r="I849" s="4">
        <v>3</v>
      </c>
      <c r="J849" s="11">
        <v>25</v>
      </c>
      <c r="K849" s="13">
        <f>I849*J849</f>
        <v>75</v>
      </c>
      <c r="L849" s="19">
        <f t="shared" si="40"/>
        <v>1.125</v>
      </c>
      <c r="M849" s="19">
        <f t="shared" si="41"/>
        <v>1.5</v>
      </c>
      <c r="N849" s="13" cm="1">
        <f t="array" ref="N849">_xlfn.IFS(C849=2023,K849*$P$2,C849=2024,K849*$P$3)</f>
        <v>1.125</v>
      </c>
    </row>
    <row r="850" spans="1:14">
      <c r="A850" s="2">
        <v>849</v>
      </c>
      <c r="B850" s="3">
        <v>45050</v>
      </c>
      <c r="C850" s="4">
        <f t="shared" si="39"/>
        <v>2023</v>
      </c>
      <c r="D850" s="4" t="s">
        <v>896</v>
      </c>
      <c r="E850" s="4" t="s">
        <v>16</v>
      </c>
      <c r="F850" s="4">
        <v>32</v>
      </c>
      <c r="G850" s="4" t="str" cm="1">
        <f t="array" ref="G850">_xlfn.IFS(F850&lt;30,"Young Adult",F850&lt;50,"Adult",F850&gt;=50,"Senior")</f>
        <v>Adult</v>
      </c>
      <c r="H850" s="4" t="s">
        <v>21</v>
      </c>
      <c r="I850" s="4">
        <v>2</v>
      </c>
      <c r="J850" s="11">
        <v>25</v>
      </c>
      <c r="K850" s="13">
        <f>I850*J850</f>
        <v>50</v>
      </c>
      <c r="L850" s="19">
        <f t="shared" si="40"/>
        <v>0.75</v>
      </c>
      <c r="M850" s="19">
        <f t="shared" si="41"/>
        <v>1</v>
      </c>
      <c r="N850" s="13" cm="1">
        <f t="array" ref="N850">_xlfn.IFS(C850=2023,K850*$P$2,C850=2024,K850*$P$3)</f>
        <v>0.75</v>
      </c>
    </row>
    <row r="851" spans="1:14">
      <c r="A851" s="2">
        <v>850</v>
      </c>
      <c r="B851" s="3">
        <v>45135</v>
      </c>
      <c r="C851" s="4">
        <f t="shared" si="39"/>
        <v>2023</v>
      </c>
      <c r="D851" s="4" t="s">
        <v>897</v>
      </c>
      <c r="E851" s="4" t="s">
        <v>20</v>
      </c>
      <c r="F851" s="4">
        <v>26</v>
      </c>
      <c r="G851" s="4" t="str" cm="1">
        <f t="array" ref="G851">_xlfn.IFS(F851&lt;30,"Young Adult",F851&lt;50,"Adult",F851&gt;=50,"Senior")</f>
        <v>Young Adult</v>
      </c>
      <c r="H851" s="4" t="s">
        <v>17</v>
      </c>
      <c r="I851" s="4">
        <v>2</v>
      </c>
      <c r="J851" s="11">
        <v>500</v>
      </c>
      <c r="K851" s="13">
        <f>I851*J851</f>
        <v>1000</v>
      </c>
      <c r="L851" s="19">
        <f t="shared" si="40"/>
        <v>15</v>
      </c>
      <c r="M851" s="19">
        <f t="shared" si="41"/>
        <v>20</v>
      </c>
      <c r="N851" s="13" cm="1">
        <f t="array" ref="N851">_xlfn.IFS(C851=2023,K851*$P$2,C851=2024,K851*$P$3)</f>
        <v>15</v>
      </c>
    </row>
    <row r="852" spans="1:14">
      <c r="A852" s="2">
        <v>851</v>
      </c>
      <c r="B852" s="3">
        <v>45177</v>
      </c>
      <c r="C852" s="4">
        <f t="shared" si="39"/>
        <v>2023</v>
      </c>
      <c r="D852" s="4" t="s">
        <v>898</v>
      </c>
      <c r="E852" s="4" t="s">
        <v>16</v>
      </c>
      <c r="F852" s="4">
        <v>32</v>
      </c>
      <c r="G852" s="4" t="str" cm="1">
        <f t="array" ref="G852">_xlfn.IFS(F852&lt;30,"Young Adult",F852&lt;50,"Adult",F852&gt;=50,"Senior")</f>
        <v>Adult</v>
      </c>
      <c r="H852" s="4" t="s">
        <v>24</v>
      </c>
      <c r="I852" s="4">
        <v>2</v>
      </c>
      <c r="J852" s="11">
        <v>25</v>
      </c>
      <c r="K852" s="13">
        <f>I852*J852</f>
        <v>50</v>
      </c>
      <c r="L852" s="19">
        <f t="shared" si="40"/>
        <v>0.75</v>
      </c>
      <c r="M852" s="19">
        <f t="shared" si="41"/>
        <v>1</v>
      </c>
      <c r="N852" s="13" cm="1">
        <f t="array" ref="N852">_xlfn.IFS(C852=2023,K852*$P$2,C852=2024,K852*$P$3)</f>
        <v>0.75</v>
      </c>
    </row>
    <row r="853" spans="1:14">
      <c r="A853" s="2">
        <v>852</v>
      </c>
      <c r="B853" s="3">
        <v>45211</v>
      </c>
      <c r="C853" s="4">
        <f t="shared" si="39"/>
        <v>2023</v>
      </c>
      <c r="D853" s="4" t="s">
        <v>899</v>
      </c>
      <c r="E853" s="4" t="s">
        <v>20</v>
      </c>
      <c r="F853" s="4">
        <v>41</v>
      </c>
      <c r="G853" s="4" t="str" cm="1">
        <f t="array" ref="G853">_xlfn.IFS(F853&lt;30,"Young Adult",F853&lt;50,"Adult",F853&gt;=50,"Senior")</f>
        <v>Adult</v>
      </c>
      <c r="H853" s="4" t="s">
        <v>21</v>
      </c>
      <c r="I853" s="4">
        <v>1</v>
      </c>
      <c r="J853" s="11">
        <v>300</v>
      </c>
      <c r="K853" s="13">
        <f>I853*J853</f>
        <v>300</v>
      </c>
      <c r="L853" s="19">
        <f t="shared" si="40"/>
        <v>4.5</v>
      </c>
      <c r="M853" s="19">
        <f t="shared" si="41"/>
        <v>6</v>
      </c>
      <c r="N853" s="13" cm="1">
        <f t="array" ref="N853">_xlfn.IFS(C853=2023,K853*$P$2,C853=2024,K853*$P$3)</f>
        <v>4.5</v>
      </c>
    </row>
    <row r="854" spans="1:14">
      <c r="A854" s="2">
        <v>853</v>
      </c>
      <c r="B854" s="3">
        <v>45050</v>
      </c>
      <c r="C854" s="4">
        <f t="shared" si="39"/>
        <v>2023</v>
      </c>
      <c r="D854" s="4" t="s">
        <v>900</v>
      </c>
      <c r="E854" s="4" t="s">
        <v>16</v>
      </c>
      <c r="F854" s="4">
        <v>21</v>
      </c>
      <c r="G854" s="4" t="str" cm="1">
        <f t="array" ref="G854">_xlfn.IFS(F854&lt;30,"Young Adult",F854&lt;50,"Adult",F854&gt;=50,"Senior")</f>
        <v>Young Adult</v>
      </c>
      <c r="H854" s="4" t="s">
        <v>17</v>
      </c>
      <c r="I854" s="4">
        <v>2</v>
      </c>
      <c r="J854" s="11">
        <v>500</v>
      </c>
      <c r="K854" s="13">
        <f>I854*J854</f>
        <v>1000</v>
      </c>
      <c r="L854" s="19">
        <f t="shared" si="40"/>
        <v>15</v>
      </c>
      <c r="M854" s="19">
        <f t="shared" si="41"/>
        <v>20</v>
      </c>
      <c r="N854" s="13" cm="1">
        <f t="array" ref="N854">_xlfn.IFS(C854=2023,K854*$P$2,C854=2024,K854*$P$3)</f>
        <v>15</v>
      </c>
    </row>
    <row r="855" spans="1:14">
      <c r="A855" s="2">
        <v>854</v>
      </c>
      <c r="B855" s="3">
        <v>45280</v>
      </c>
      <c r="C855" s="4">
        <f t="shared" si="39"/>
        <v>2023</v>
      </c>
      <c r="D855" s="4" t="s">
        <v>901</v>
      </c>
      <c r="E855" s="4" t="s">
        <v>16</v>
      </c>
      <c r="F855" s="4">
        <v>29</v>
      </c>
      <c r="G855" s="4" t="str" cm="1">
        <f t="array" ref="G855">_xlfn.IFS(F855&lt;30,"Young Adult",F855&lt;50,"Adult",F855&gt;=50,"Senior")</f>
        <v>Young Adult</v>
      </c>
      <c r="H855" s="4" t="s">
        <v>21</v>
      </c>
      <c r="I855" s="4">
        <v>1</v>
      </c>
      <c r="J855" s="11">
        <v>50</v>
      </c>
      <c r="K855" s="13">
        <f>I855*J855</f>
        <v>50</v>
      </c>
      <c r="L855" s="19">
        <f t="shared" si="40"/>
        <v>0.75</v>
      </c>
      <c r="M855" s="19">
        <f t="shared" si="41"/>
        <v>1</v>
      </c>
      <c r="N855" s="13" cm="1">
        <f t="array" ref="N855">_xlfn.IFS(C855=2023,K855*$P$2,C855=2024,K855*$P$3)</f>
        <v>0.75</v>
      </c>
    </row>
    <row r="856" spans="1:14">
      <c r="A856" s="2">
        <v>855</v>
      </c>
      <c r="B856" s="3">
        <v>45170</v>
      </c>
      <c r="C856" s="4">
        <f t="shared" si="39"/>
        <v>2023</v>
      </c>
      <c r="D856" s="4" t="s">
        <v>902</v>
      </c>
      <c r="E856" s="4" t="s">
        <v>16</v>
      </c>
      <c r="F856" s="4">
        <v>54</v>
      </c>
      <c r="G856" s="4" t="str" cm="1">
        <f t="array" ref="G856">_xlfn.IFS(F856&lt;30,"Young Adult",F856&lt;50,"Adult",F856&gt;=50,"Senior")</f>
        <v>Senior</v>
      </c>
      <c r="H856" s="4" t="s">
        <v>17</v>
      </c>
      <c r="I856" s="4">
        <v>1</v>
      </c>
      <c r="J856" s="11">
        <v>25</v>
      </c>
      <c r="K856" s="13">
        <f>I856*J856</f>
        <v>25</v>
      </c>
      <c r="L856" s="19">
        <f t="shared" si="40"/>
        <v>0.375</v>
      </c>
      <c r="M856" s="19">
        <f t="shared" si="41"/>
        <v>0.5</v>
      </c>
      <c r="N856" s="13" cm="1">
        <f t="array" ref="N856">_xlfn.IFS(C856=2023,K856*$P$2,C856=2024,K856*$P$3)</f>
        <v>0.375</v>
      </c>
    </row>
    <row r="857" spans="1:14">
      <c r="A857" s="2">
        <v>856</v>
      </c>
      <c r="B857" s="3">
        <v>45257</v>
      </c>
      <c r="C857" s="4">
        <f t="shared" si="39"/>
        <v>2023</v>
      </c>
      <c r="D857" s="4" t="s">
        <v>903</v>
      </c>
      <c r="E857" s="4" t="s">
        <v>16</v>
      </c>
      <c r="F857" s="4">
        <v>54</v>
      </c>
      <c r="G857" s="4" t="str" cm="1">
        <f t="array" ref="G857">_xlfn.IFS(F857&lt;30,"Young Adult",F857&lt;50,"Adult",F857&gt;=50,"Senior")</f>
        <v>Senior</v>
      </c>
      <c r="H857" s="4" t="s">
        <v>24</v>
      </c>
      <c r="I857" s="4">
        <v>4</v>
      </c>
      <c r="J857" s="11">
        <v>30</v>
      </c>
      <c r="K857" s="13">
        <f>I857*J857</f>
        <v>120</v>
      </c>
      <c r="L857" s="19">
        <f t="shared" si="40"/>
        <v>1.7999999999999998</v>
      </c>
      <c r="M857" s="19">
        <f t="shared" si="41"/>
        <v>2.4</v>
      </c>
      <c r="N857" s="13" cm="1">
        <f t="array" ref="N857">_xlfn.IFS(C857=2023,K857*$P$2,C857=2024,K857*$P$3)</f>
        <v>1.7999999999999998</v>
      </c>
    </row>
    <row r="858" spans="1:14">
      <c r="A858" s="2">
        <v>857</v>
      </c>
      <c r="B858" s="3">
        <v>45291</v>
      </c>
      <c r="C858" s="4">
        <f t="shared" si="39"/>
        <v>2023</v>
      </c>
      <c r="D858" s="4" t="s">
        <v>904</v>
      </c>
      <c r="E858" s="4" t="s">
        <v>16</v>
      </c>
      <c r="F858" s="4">
        <v>60</v>
      </c>
      <c r="G858" s="4" t="str" cm="1">
        <f t="array" ref="G858">_xlfn.IFS(F858&lt;30,"Young Adult",F858&lt;50,"Adult",F858&gt;=50,"Senior")</f>
        <v>Senior</v>
      </c>
      <c r="H858" s="4" t="s">
        <v>24</v>
      </c>
      <c r="I858" s="4">
        <v>2</v>
      </c>
      <c r="J858" s="11">
        <v>25</v>
      </c>
      <c r="K858" s="13">
        <f>I858*J858</f>
        <v>50</v>
      </c>
      <c r="L858" s="19">
        <f t="shared" si="40"/>
        <v>0.75</v>
      </c>
      <c r="M858" s="19">
        <f t="shared" si="41"/>
        <v>1</v>
      </c>
      <c r="N858" s="13" cm="1">
        <f t="array" ref="N858">_xlfn.IFS(C858=2023,K858*$P$2,C858=2024,K858*$P$3)</f>
        <v>0.75</v>
      </c>
    </row>
    <row r="859" spans="1:14">
      <c r="A859" s="2">
        <v>858</v>
      </c>
      <c r="B859" s="3">
        <v>45178</v>
      </c>
      <c r="C859" s="4">
        <f t="shared" si="39"/>
        <v>2023</v>
      </c>
      <c r="D859" s="4" t="s">
        <v>905</v>
      </c>
      <c r="E859" s="4" t="s">
        <v>16</v>
      </c>
      <c r="F859" s="4">
        <v>23</v>
      </c>
      <c r="G859" s="4" t="str" cm="1">
        <f t="array" ref="G859">_xlfn.IFS(F859&lt;30,"Young Adult",F859&lt;50,"Adult",F859&gt;=50,"Senior")</f>
        <v>Young Adult</v>
      </c>
      <c r="H859" s="4" t="s">
        <v>24</v>
      </c>
      <c r="I859" s="4">
        <v>2</v>
      </c>
      <c r="J859" s="11">
        <v>50</v>
      </c>
      <c r="K859" s="13">
        <f>I859*J859</f>
        <v>100</v>
      </c>
      <c r="L859" s="19">
        <f t="shared" si="40"/>
        <v>1.5</v>
      </c>
      <c r="M859" s="19">
        <f t="shared" si="41"/>
        <v>2</v>
      </c>
      <c r="N859" s="13" cm="1">
        <f t="array" ref="N859">_xlfn.IFS(C859=2023,K859*$P$2,C859=2024,K859*$P$3)</f>
        <v>1.5</v>
      </c>
    </row>
    <row r="860" spans="1:14">
      <c r="A860" s="2">
        <v>859</v>
      </c>
      <c r="B860" s="3">
        <v>45156</v>
      </c>
      <c r="C860" s="4">
        <f t="shared" si="39"/>
        <v>2023</v>
      </c>
      <c r="D860" s="4" t="s">
        <v>906</v>
      </c>
      <c r="E860" s="4" t="s">
        <v>20</v>
      </c>
      <c r="F860" s="4">
        <v>56</v>
      </c>
      <c r="G860" s="4" t="str" cm="1">
        <f t="array" ref="G860">_xlfn.IFS(F860&lt;30,"Young Adult",F860&lt;50,"Adult",F860&gt;=50,"Senior")</f>
        <v>Senior</v>
      </c>
      <c r="H860" s="4" t="s">
        <v>24</v>
      </c>
      <c r="I860" s="4">
        <v>3</v>
      </c>
      <c r="J860" s="11">
        <v>500</v>
      </c>
      <c r="K860" s="13">
        <f>I860*J860</f>
        <v>1500</v>
      </c>
      <c r="L860" s="19">
        <f t="shared" si="40"/>
        <v>22.5</v>
      </c>
      <c r="M860" s="19">
        <f t="shared" si="41"/>
        <v>30</v>
      </c>
      <c r="N860" s="13" cm="1">
        <f t="array" ref="N860">_xlfn.IFS(C860=2023,K860*$P$2,C860=2024,K860*$P$3)</f>
        <v>22.5</v>
      </c>
    </row>
    <row r="861" spans="1:14">
      <c r="A861" s="2">
        <v>860</v>
      </c>
      <c r="B861" s="3">
        <v>44935</v>
      </c>
      <c r="C861" s="4">
        <f t="shared" si="39"/>
        <v>2023</v>
      </c>
      <c r="D861" s="4" t="s">
        <v>907</v>
      </c>
      <c r="E861" s="4" t="s">
        <v>16</v>
      </c>
      <c r="F861" s="4">
        <v>63</v>
      </c>
      <c r="G861" s="4" t="str" cm="1">
        <f t="array" ref="G861">_xlfn.IFS(F861&lt;30,"Young Adult",F861&lt;50,"Adult",F861&gt;=50,"Senior")</f>
        <v>Senior</v>
      </c>
      <c r="H861" s="4" t="s">
        <v>21</v>
      </c>
      <c r="I861" s="4">
        <v>4</v>
      </c>
      <c r="J861" s="11">
        <v>50</v>
      </c>
      <c r="K861" s="13">
        <f>I861*J861</f>
        <v>200</v>
      </c>
      <c r="L861" s="19">
        <f t="shared" si="40"/>
        <v>3</v>
      </c>
      <c r="M861" s="19">
        <f t="shared" si="41"/>
        <v>4</v>
      </c>
      <c r="N861" s="13" cm="1">
        <f t="array" ref="N861">_xlfn.IFS(C861=2023,K861*$P$2,C861=2024,K861*$P$3)</f>
        <v>3</v>
      </c>
    </row>
    <row r="862" spans="1:14">
      <c r="A862" s="2">
        <v>861</v>
      </c>
      <c r="B862" s="3">
        <v>44974</v>
      </c>
      <c r="C862" s="4">
        <f t="shared" si="39"/>
        <v>2023</v>
      </c>
      <c r="D862" s="4" t="s">
        <v>908</v>
      </c>
      <c r="E862" s="4" t="s">
        <v>20</v>
      </c>
      <c r="F862" s="4">
        <v>41</v>
      </c>
      <c r="G862" s="4" t="str" cm="1">
        <f t="array" ref="G862">_xlfn.IFS(F862&lt;30,"Young Adult",F862&lt;50,"Adult",F862&gt;=50,"Senior")</f>
        <v>Adult</v>
      </c>
      <c r="H862" s="4" t="s">
        <v>21</v>
      </c>
      <c r="I862" s="4">
        <v>3</v>
      </c>
      <c r="J862" s="11">
        <v>30</v>
      </c>
      <c r="K862" s="13">
        <f>I862*J862</f>
        <v>90</v>
      </c>
      <c r="L862" s="19">
        <f t="shared" si="40"/>
        <v>1.3499999999999999</v>
      </c>
      <c r="M862" s="19">
        <f t="shared" si="41"/>
        <v>1.8</v>
      </c>
      <c r="N862" s="13" cm="1">
        <f t="array" ref="N862">_xlfn.IFS(C862=2023,K862*$P$2,C862=2024,K862*$P$3)</f>
        <v>1.3499999999999999</v>
      </c>
    </row>
    <row r="863" spans="1:14">
      <c r="A863" s="2">
        <v>862</v>
      </c>
      <c r="B863" s="3">
        <v>45077</v>
      </c>
      <c r="C863" s="4">
        <f t="shared" si="39"/>
        <v>2023</v>
      </c>
      <c r="D863" s="4" t="s">
        <v>909</v>
      </c>
      <c r="E863" s="4" t="s">
        <v>16</v>
      </c>
      <c r="F863" s="4">
        <v>28</v>
      </c>
      <c r="G863" s="4" t="str" cm="1">
        <f t="array" ref="G863">_xlfn.IFS(F863&lt;30,"Young Adult",F863&lt;50,"Adult",F863&gt;=50,"Senior")</f>
        <v>Young Adult</v>
      </c>
      <c r="H863" s="4" t="s">
        <v>24</v>
      </c>
      <c r="I863" s="4">
        <v>4</v>
      </c>
      <c r="J863" s="11">
        <v>300</v>
      </c>
      <c r="K863" s="13">
        <f>I863*J863</f>
        <v>1200</v>
      </c>
      <c r="L863" s="19">
        <f t="shared" si="40"/>
        <v>18</v>
      </c>
      <c r="M863" s="19">
        <f t="shared" si="41"/>
        <v>24</v>
      </c>
      <c r="N863" s="13" cm="1">
        <f t="array" ref="N863">_xlfn.IFS(C863=2023,K863*$P$2,C863=2024,K863*$P$3)</f>
        <v>18</v>
      </c>
    </row>
    <row r="864" spans="1:14">
      <c r="A864" s="2">
        <v>863</v>
      </c>
      <c r="B864" s="3">
        <v>45040</v>
      </c>
      <c r="C864" s="4">
        <f t="shared" si="39"/>
        <v>2023</v>
      </c>
      <c r="D864" s="4" t="s">
        <v>910</v>
      </c>
      <c r="E864" s="4" t="s">
        <v>20</v>
      </c>
      <c r="F864" s="4">
        <v>30</v>
      </c>
      <c r="G864" s="4" t="str" cm="1">
        <f t="array" ref="G864">_xlfn.IFS(F864&lt;30,"Young Adult",F864&lt;50,"Adult",F864&gt;=50,"Senior")</f>
        <v>Adult</v>
      </c>
      <c r="H864" s="4" t="s">
        <v>24</v>
      </c>
      <c r="I864" s="4">
        <v>2</v>
      </c>
      <c r="J864" s="11">
        <v>25</v>
      </c>
      <c r="K864" s="13">
        <f>I864*J864</f>
        <v>50</v>
      </c>
      <c r="L864" s="19">
        <f t="shared" si="40"/>
        <v>0.75</v>
      </c>
      <c r="M864" s="19">
        <f t="shared" si="41"/>
        <v>1</v>
      </c>
      <c r="N864" s="13" cm="1">
        <f t="array" ref="N864">_xlfn.IFS(C864=2023,K864*$P$2,C864=2024,K864*$P$3)</f>
        <v>0.75</v>
      </c>
    </row>
    <row r="865" spans="1:14">
      <c r="A865" s="2">
        <v>864</v>
      </c>
      <c r="B865" s="3">
        <v>45134</v>
      </c>
      <c r="C865" s="4">
        <f t="shared" si="39"/>
        <v>2023</v>
      </c>
      <c r="D865" s="4" t="s">
        <v>911</v>
      </c>
      <c r="E865" s="4" t="s">
        <v>20</v>
      </c>
      <c r="F865" s="4">
        <v>51</v>
      </c>
      <c r="G865" s="4" t="str" cm="1">
        <f t="array" ref="G865">_xlfn.IFS(F865&lt;30,"Young Adult",F865&lt;50,"Adult",F865&gt;=50,"Senior")</f>
        <v>Senior</v>
      </c>
      <c r="H865" s="4" t="s">
        <v>24</v>
      </c>
      <c r="I865" s="4">
        <v>1</v>
      </c>
      <c r="J865" s="11">
        <v>500</v>
      </c>
      <c r="K865" s="13">
        <f>I865*J865</f>
        <v>500</v>
      </c>
      <c r="L865" s="19">
        <f t="shared" si="40"/>
        <v>7.5</v>
      </c>
      <c r="M865" s="19">
        <f t="shared" si="41"/>
        <v>10</v>
      </c>
      <c r="N865" s="13" cm="1">
        <f t="array" ref="N865">_xlfn.IFS(C865=2023,K865*$P$2,C865=2024,K865*$P$3)</f>
        <v>7.5</v>
      </c>
    </row>
    <row r="866" spans="1:14">
      <c r="A866" s="2">
        <v>865</v>
      </c>
      <c r="B866" s="3">
        <v>45281</v>
      </c>
      <c r="C866" s="4">
        <f t="shared" si="39"/>
        <v>2023</v>
      </c>
      <c r="D866" s="4" t="s">
        <v>912</v>
      </c>
      <c r="E866" s="4" t="s">
        <v>20</v>
      </c>
      <c r="F866" s="4">
        <v>42</v>
      </c>
      <c r="G866" s="4" t="str" cm="1">
        <f t="array" ref="G866">_xlfn.IFS(F866&lt;30,"Young Adult",F866&lt;50,"Adult",F866&gt;=50,"Senior")</f>
        <v>Adult</v>
      </c>
      <c r="H866" s="4" t="s">
        <v>21</v>
      </c>
      <c r="I866" s="4">
        <v>1</v>
      </c>
      <c r="J866" s="11">
        <v>300</v>
      </c>
      <c r="K866" s="13">
        <f>I866*J866</f>
        <v>300</v>
      </c>
      <c r="L866" s="19">
        <f t="shared" si="40"/>
        <v>4.5</v>
      </c>
      <c r="M866" s="19">
        <f t="shared" si="41"/>
        <v>6</v>
      </c>
      <c r="N866" s="13" cm="1">
        <f t="array" ref="N866">_xlfn.IFS(C866=2023,K866*$P$2,C866=2024,K866*$P$3)</f>
        <v>4.5</v>
      </c>
    </row>
    <row r="867" spans="1:14">
      <c r="A867" s="2">
        <v>866</v>
      </c>
      <c r="B867" s="3">
        <v>45051</v>
      </c>
      <c r="C867" s="4">
        <f t="shared" si="39"/>
        <v>2023</v>
      </c>
      <c r="D867" s="4" t="s">
        <v>913</v>
      </c>
      <c r="E867" s="4" t="s">
        <v>16</v>
      </c>
      <c r="F867" s="4">
        <v>24</v>
      </c>
      <c r="G867" s="4" t="str" cm="1">
        <f t="array" ref="G867">_xlfn.IFS(F867&lt;30,"Young Adult",F867&lt;50,"Adult",F867&gt;=50,"Senior")</f>
        <v>Young Adult</v>
      </c>
      <c r="H867" s="4" t="s">
        <v>24</v>
      </c>
      <c r="I867" s="4">
        <v>1</v>
      </c>
      <c r="J867" s="11">
        <v>50</v>
      </c>
      <c r="K867" s="13">
        <f>I867*J867</f>
        <v>50</v>
      </c>
      <c r="L867" s="19">
        <f t="shared" si="40"/>
        <v>0.75</v>
      </c>
      <c r="M867" s="19">
        <f t="shared" si="41"/>
        <v>1</v>
      </c>
      <c r="N867" s="13" cm="1">
        <f t="array" ref="N867">_xlfn.IFS(C867=2023,K867*$P$2,C867=2024,K867*$P$3)</f>
        <v>0.75</v>
      </c>
    </row>
    <row r="868" spans="1:14">
      <c r="A868" s="2">
        <v>867</v>
      </c>
      <c r="B868" s="3">
        <v>45083</v>
      </c>
      <c r="C868" s="4">
        <f t="shared" si="39"/>
        <v>2023</v>
      </c>
      <c r="D868" s="4" t="s">
        <v>914</v>
      </c>
      <c r="E868" s="4" t="s">
        <v>16</v>
      </c>
      <c r="F868" s="4">
        <v>21</v>
      </c>
      <c r="G868" s="4" t="str" cm="1">
        <f t="array" ref="G868">_xlfn.IFS(F868&lt;30,"Young Adult",F868&lt;50,"Adult",F868&gt;=50,"Senior")</f>
        <v>Young Adult</v>
      </c>
      <c r="H868" s="4" t="s">
        <v>24</v>
      </c>
      <c r="I868" s="4">
        <v>1</v>
      </c>
      <c r="J868" s="11">
        <v>500</v>
      </c>
      <c r="K868" s="13">
        <f>I868*J868</f>
        <v>500</v>
      </c>
      <c r="L868" s="19">
        <f t="shared" si="40"/>
        <v>7.5</v>
      </c>
      <c r="M868" s="19">
        <f t="shared" si="41"/>
        <v>10</v>
      </c>
      <c r="N868" s="13" cm="1">
        <f t="array" ref="N868">_xlfn.IFS(C868=2023,K868*$P$2,C868=2024,K868*$P$3)</f>
        <v>7.5</v>
      </c>
    </row>
    <row r="869" spans="1:14">
      <c r="A869" s="2">
        <v>868</v>
      </c>
      <c r="B869" s="3">
        <v>45266</v>
      </c>
      <c r="C869" s="4">
        <f t="shared" si="39"/>
        <v>2023</v>
      </c>
      <c r="D869" s="4" t="s">
        <v>915</v>
      </c>
      <c r="E869" s="4" t="s">
        <v>20</v>
      </c>
      <c r="F869" s="4">
        <v>25</v>
      </c>
      <c r="G869" s="4" t="str" cm="1">
        <f t="array" ref="G869">_xlfn.IFS(F869&lt;30,"Young Adult",F869&lt;50,"Adult",F869&gt;=50,"Senior")</f>
        <v>Young Adult</v>
      </c>
      <c r="H869" s="4" t="s">
        <v>24</v>
      </c>
      <c r="I869" s="4">
        <v>1</v>
      </c>
      <c r="J869" s="11">
        <v>300</v>
      </c>
      <c r="K869" s="13">
        <f>I869*J869</f>
        <v>300</v>
      </c>
      <c r="L869" s="19">
        <f t="shared" si="40"/>
        <v>4.5</v>
      </c>
      <c r="M869" s="19">
        <f t="shared" si="41"/>
        <v>6</v>
      </c>
      <c r="N869" s="13" cm="1">
        <f t="array" ref="N869">_xlfn.IFS(C869=2023,K869*$P$2,C869=2024,K869*$P$3)</f>
        <v>4.5</v>
      </c>
    </row>
    <row r="870" spans="1:14">
      <c r="A870" s="2">
        <v>869</v>
      </c>
      <c r="B870" s="3">
        <v>45224</v>
      </c>
      <c r="C870" s="4">
        <f t="shared" si="39"/>
        <v>2023</v>
      </c>
      <c r="D870" s="4" t="s">
        <v>916</v>
      </c>
      <c r="E870" s="4" t="s">
        <v>16</v>
      </c>
      <c r="F870" s="4">
        <v>37</v>
      </c>
      <c r="G870" s="4" t="str" cm="1">
        <f t="array" ref="G870">_xlfn.IFS(F870&lt;30,"Young Adult",F870&lt;50,"Adult",F870&gt;=50,"Senior")</f>
        <v>Adult</v>
      </c>
      <c r="H870" s="4" t="s">
        <v>17</v>
      </c>
      <c r="I870" s="4">
        <v>3</v>
      </c>
      <c r="J870" s="11">
        <v>500</v>
      </c>
      <c r="K870" s="13">
        <f>I870*J870</f>
        <v>1500</v>
      </c>
      <c r="L870" s="19">
        <f t="shared" si="40"/>
        <v>22.5</v>
      </c>
      <c r="M870" s="19">
        <f t="shared" si="41"/>
        <v>30</v>
      </c>
      <c r="N870" s="13" cm="1">
        <f t="array" ref="N870">_xlfn.IFS(C870=2023,K870*$P$2,C870=2024,K870*$P$3)</f>
        <v>22.5</v>
      </c>
    </row>
    <row r="871" spans="1:14">
      <c r="A871" s="2">
        <v>870</v>
      </c>
      <c r="B871" s="3">
        <v>45115</v>
      </c>
      <c r="C871" s="4">
        <f t="shared" si="39"/>
        <v>2023</v>
      </c>
      <c r="D871" s="4" t="s">
        <v>917</v>
      </c>
      <c r="E871" s="4" t="s">
        <v>20</v>
      </c>
      <c r="F871" s="4">
        <v>46</v>
      </c>
      <c r="G871" s="4" t="str" cm="1">
        <f t="array" ref="G871">_xlfn.IFS(F871&lt;30,"Young Adult",F871&lt;50,"Adult",F871&gt;=50,"Senior")</f>
        <v>Adult</v>
      </c>
      <c r="H871" s="4" t="s">
        <v>24</v>
      </c>
      <c r="I871" s="4">
        <v>4</v>
      </c>
      <c r="J871" s="11">
        <v>30</v>
      </c>
      <c r="K871" s="13">
        <f>I871*J871</f>
        <v>120</v>
      </c>
      <c r="L871" s="19">
        <f t="shared" si="40"/>
        <v>1.7999999999999998</v>
      </c>
      <c r="M871" s="19">
        <f t="shared" si="41"/>
        <v>2.4</v>
      </c>
      <c r="N871" s="13" cm="1">
        <f t="array" ref="N871">_xlfn.IFS(C871=2023,K871*$P$2,C871=2024,K871*$P$3)</f>
        <v>1.7999999999999998</v>
      </c>
    </row>
    <row r="872" spans="1:14">
      <c r="A872" s="2">
        <v>871</v>
      </c>
      <c r="B872" s="3">
        <v>45169</v>
      </c>
      <c r="C872" s="4">
        <f t="shared" si="39"/>
        <v>2023</v>
      </c>
      <c r="D872" s="4" t="s">
        <v>918</v>
      </c>
      <c r="E872" s="4" t="s">
        <v>16</v>
      </c>
      <c r="F872" s="4">
        <v>62</v>
      </c>
      <c r="G872" s="4" t="str" cm="1">
        <f t="array" ref="G872">_xlfn.IFS(F872&lt;30,"Young Adult",F872&lt;50,"Adult",F872&gt;=50,"Senior")</f>
        <v>Senior</v>
      </c>
      <c r="H872" s="4" t="s">
        <v>17</v>
      </c>
      <c r="I872" s="4">
        <v>2</v>
      </c>
      <c r="J872" s="11">
        <v>30</v>
      </c>
      <c r="K872" s="13">
        <f>I872*J872</f>
        <v>60</v>
      </c>
      <c r="L872" s="19">
        <f t="shared" si="40"/>
        <v>0.89999999999999991</v>
      </c>
      <c r="M872" s="19">
        <f t="shared" si="41"/>
        <v>1.2</v>
      </c>
      <c r="N872" s="13" cm="1">
        <f t="array" ref="N872">_xlfn.IFS(C872=2023,K872*$P$2,C872=2024,K872*$P$3)</f>
        <v>0.89999999999999991</v>
      </c>
    </row>
    <row r="873" spans="1:14">
      <c r="A873" s="2">
        <v>872</v>
      </c>
      <c r="B873" s="3">
        <v>45210</v>
      </c>
      <c r="C873" s="4">
        <f t="shared" si="39"/>
        <v>2023</v>
      </c>
      <c r="D873" s="4" t="s">
        <v>919</v>
      </c>
      <c r="E873" s="4" t="s">
        <v>20</v>
      </c>
      <c r="F873" s="4">
        <v>63</v>
      </c>
      <c r="G873" s="4" t="str" cm="1">
        <f t="array" ref="G873">_xlfn.IFS(F873&lt;30,"Young Adult",F873&lt;50,"Adult",F873&gt;=50,"Senior")</f>
        <v>Senior</v>
      </c>
      <c r="H873" s="4" t="s">
        <v>17</v>
      </c>
      <c r="I873" s="4">
        <v>3</v>
      </c>
      <c r="J873" s="11">
        <v>25</v>
      </c>
      <c r="K873" s="13">
        <f>I873*J873</f>
        <v>75</v>
      </c>
      <c r="L873" s="19">
        <f t="shared" si="40"/>
        <v>1.125</v>
      </c>
      <c r="M873" s="19">
        <f t="shared" si="41"/>
        <v>1.5</v>
      </c>
      <c r="N873" s="13" cm="1">
        <f t="array" ref="N873">_xlfn.IFS(C873=2023,K873*$P$2,C873=2024,K873*$P$3)</f>
        <v>1.125</v>
      </c>
    </row>
    <row r="874" spans="1:14">
      <c r="A874" s="2">
        <v>873</v>
      </c>
      <c r="B874" s="3">
        <v>45198</v>
      </c>
      <c r="C874" s="4">
        <f t="shared" si="39"/>
        <v>2023</v>
      </c>
      <c r="D874" s="4" t="s">
        <v>920</v>
      </c>
      <c r="E874" s="4" t="s">
        <v>20</v>
      </c>
      <c r="F874" s="4">
        <v>27</v>
      </c>
      <c r="G874" s="4" t="str" cm="1">
        <f t="array" ref="G874">_xlfn.IFS(F874&lt;30,"Young Adult",F874&lt;50,"Adult",F874&gt;=50,"Senior")</f>
        <v>Young Adult</v>
      </c>
      <c r="H874" s="4" t="s">
        <v>24</v>
      </c>
      <c r="I874" s="4">
        <v>4</v>
      </c>
      <c r="J874" s="11">
        <v>25</v>
      </c>
      <c r="K874" s="13">
        <f>I874*J874</f>
        <v>100</v>
      </c>
      <c r="L874" s="19">
        <f t="shared" si="40"/>
        <v>1.5</v>
      </c>
      <c r="M874" s="19">
        <f t="shared" si="41"/>
        <v>2</v>
      </c>
      <c r="N874" s="13" cm="1">
        <f t="array" ref="N874">_xlfn.IFS(C874=2023,K874*$P$2,C874=2024,K874*$P$3)</f>
        <v>1.5</v>
      </c>
    </row>
    <row r="875" spans="1:14">
      <c r="A875" s="2">
        <v>874</v>
      </c>
      <c r="B875" s="3">
        <v>45103</v>
      </c>
      <c r="C875" s="4">
        <f t="shared" si="39"/>
        <v>2023</v>
      </c>
      <c r="D875" s="4" t="s">
        <v>921</v>
      </c>
      <c r="E875" s="4" t="s">
        <v>16</v>
      </c>
      <c r="F875" s="4">
        <v>60</v>
      </c>
      <c r="G875" s="4" t="str" cm="1">
        <f t="array" ref="G875">_xlfn.IFS(F875&lt;30,"Young Adult",F875&lt;50,"Adult",F875&gt;=50,"Senior")</f>
        <v>Senior</v>
      </c>
      <c r="H875" s="4" t="s">
        <v>17</v>
      </c>
      <c r="I875" s="4">
        <v>1</v>
      </c>
      <c r="J875" s="11">
        <v>30</v>
      </c>
      <c r="K875" s="13">
        <f>I875*J875</f>
        <v>30</v>
      </c>
      <c r="L875" s="19">
        <f t="shared" si="40"/>
        <v>0.44999999999999996</v>
      </c>
      <c r="M875" s="19">
        <f t="shared" si="41"/>
        <v>0.6</v>
      </c>
      <c r="N875" s="13" cm="1">
        <f t="array" ref="N875">_xlfn.IFS(C875=2023,K875*$P$2,C875=2024,K875*$P$3)</f>
        <v>0.44999999999999996</v>
      </c>
    </row>
    <row r="876" spans="1:14">
      <c r="A876" s="2">
        <v>875</v>
      </c>
      <c r="B876" s="3">
        <v>45144</v>
      </c>
      <c r="C876" s="4">
        <f t="shared" si="39"/>
        <v>2023</v>
      </c>
      <c r="D876" s="4" t="s">
        <v>922</v>
      </c>
      <c r="E876" s="4" t="s">
        <v>20</v>
      </c>
      <c r="F876" s="4">
        <v>51</v>
      </c>
      <c r="G876" s="4" t="str" cm="1">
        <f t="array" ref="G876">_xlfn.IFS(F876&lt;30,"Young Adult",F876&lt;50,"Adult",F876&gt;=50,"Senior")</f>
        <v>Senior</v>
      </c>
      <c r="H876" s="4" t="s">
        <v>24</v>
      </c>
      <c r="I876" s="4">
        <v>4</v>
      </c>
      <c r="J876" s="11">
        <v>500</v>
      </c>
      <c r="K876" s="13">
        <f>I876*J876</f>
        <v>2000</v>
      </c>
      <c r="L876" s="19">
        <f t="shared" si="40"/>
        <v>30</v>
      </c>
      <c r="M876" s="19">
        <f t="shared" si="41"/>
        <v>40</v>
      </c>
      <c r="N876" s="13" cm="1">
        <f t="array" ref="N876">_xlfn.IFS(C876=2023,K876*$P$2,C876=2024,K876*$P$3)</f>
        <v>30</v>
      </c>
    </row>
    <row r="877" spans="1:14">
      <c r="A877" s="2">
        <v>876</v>
      </c>
      <c r="B877" s="3">
        <v>45208</v>
      </c>
      <c r="C877" s="4">
        <f t="shared" si="39"/>
        <v>2023</v>
      </c>
      <c r="D877" s="4" t="s">
        <v>923</v>
      </c>
      <c r="E877" s="4" t="s">
        <v>16</v>
      </c>
      <c r="F877" s="4">
        <v>43</v>
      </c>
      <c r="G877" s="4" t="str" cm="1">
        <f t="array" ref="G877">_xlfn.IFS(F877&lt;30,"Young Adult",F877&lt;50,"Adult",F877&gt;=50,"Senior")</f>
        <v>Adult</v>
      </c>
      <c r="H877" s="4" t="s">
        <v>21</v>
      </c>
      <c r="I877" s="4">
        <v>4</v>
      </c>
      <c r="J877" s="11">
        <v>30</v>
      </c>
      <c r="K877" s="13">
        <f>I877*J877</f>
        <v>120</v>
      </c>
      <c r="L877" s="19">
        <f t="shared" si="40"/>
        <v>1.7999999999999998</v>
      </c>
      <c r="M877" s="19">
        <f t="shared" si="41"/>
        <v>2.4</v>
      </c>
      <c r="N877" s="13" cm="1">
        <f t="array" ref="N877">_xlfn.IFS(C877=2023,K877*$P$2,C877=2024,K877*$P$3)</f>
        <v>1.7999999999999998</v>
      </c>
    </row>
    <row r="878" spans="1:14">
      <c r="A878" s="2">
        <v>877</v>
      </c>
      <c r="B878" s="3">
        <v>45096</v>
      </c>
      <c r="C878" s="4">
        <f t="shared" si="39"/>
        <v>2023</v>
      </c>
      <c r="D878" s="4" t="s">
        <v>924</v>
      </c>
      <c r="E878" s="4" t="s">
        <v>20</v>
      </c>
      <c r="F878" s="4">
        <v>58</v>
      </c>
      <c r="G878" s="4" t="str" cm="1">
        <f t="array" ref="G878">_xlfn.IFS(F878&lt;30,"Young Adult",F878&lt;50,"Adult",F878&gt;=50,"Senior")</f>
        <v>Senior</v>
      </c>
      <c r="H878" s="4" t="s">
        <v>21</v>
      </c>
      <c r="I878" s="4">
        <v>1</v>
      </c>
      <c r="J878" s="11">
        <v>25</v>
      </c>
      <c r="K878" s="13">
        <f>I878*J878</f>
        <v>25</v>
      </c>
      <c r="L878" s="19">
        <f t="shared" si="40"/>
        <v>0.375</v>
      </c>
      <c r="M878" s="19">
        <f t="shared" si="41"/>
        <v>0.5</v>
      </c>
      <c r="N878" s="13" cm="1">
        <f t="array" ref="N878">_xlfn.IFS(C878=2023,K878*$P$2,C878=2024,K878*$P$3)</f>
        <v>0.375</v>
      </c>
    </row>
    <row r="879" spans="1:14">
      <c r="A879" s="2">
        <v>878</v>
      </c>
      <c r="B879" s="3">
        <v>45107</v>
      </c>
      <c r="C879" s="4">
        <f t="shared" si="39"/>
        <v>2023</v>
      </c>
      <c r="D879" s="4" t="s">
        <v>925</v>
      </c>
      <c r="E879" s="4" t="s">
        <v>20</v>
      </c>
      <c r="F879" s="4">
        <v>20</v>
      </c>
      <c r="G879" s="4" t="str" cm="1">
        <f t="array" ref="G879">_xlfn.IFS(F879&lt;30,"Young Adult",F879&lt;50,"Adult",F879&gt;=50,"Senior")</f>
        <v>Young Adult</v>
      </c>
      <c r="H879" s="4" t="s">
        <v>21</v>
      </c>
      <c r="I879" s="4">
        <v>1</v>
      </c>
      <c r="J879" s="11">
        <v>30</v>
      </c>
      <c r="K879" s="13">
        <f>I879*J879</f>
        <v>30</v>
      </c>
      <c r="L879" s="19">
        <f t="shared" si="40"/>
        <v>0.44999999999999996</v>
      </c>
      <c r="M879" s="19">
        <f t="shared" si="41"/>
        <v>0.6</v>
      </c>
      <c r="N879" s="13" cm="1">
        <f t="array" ref="N879">_xlfn.IFS(C879=2023,K879*$P$2,C879=2024,K879*$P$3)</f>
        <v>0.44999999999999996</v>
      </c>
    </row>
    <row r="880" spans="1:14">
      <c r="A880" s="2">
        <v>879</v>
      </c>
      <c r="B880" s="3">
        <v>45286</v>
      </c>
      <c r="C880" s="4">
        <f t="shared" si="39"/>
        <v>2023</v>
      </c>
      <c r="D880" s="4" t="s">
        <v>926</v>
      </c>
      <c r="E880" s="4" t="s">
        <v>16</v>
      </c>
      <c r="F880" s="4">
        <v>23</v>
      </c>
      <c r="G880" s="4" t="str" cm="1">
        <f t="array" ref="G880">_xlfn.IFS(F880&lt;30,"Young Adult",F880&lt;50,"Adult",F880&gt;=50,"Senior")</f>
        <v>Young Adult</v>
      </c>
      <c r="H880" s="4" t="s">
        <v>21</v>
      </c>
      <c r="I880" s="4">
        <v>1</v>
      </c>
      <c r="J880" s="11">
        <v>30</v>
      </c>
      <c r="K880" s="13">
        <f>I880*J880</f>
        <v>30</v>
      </c>
      <c r="L880" s="19">
        <f t="shared" si="40"/>
        <v>0.44999999999999996</v>
      </c>
      <c r="M880" s="19">
        <f t="shared" si="41"/>
        <v>0.6</v>
      </c>
      <c r="N880" s="13" cm="1">
        <f t="array" ref="N880">_xlfn.IFS(C880=2023,K880*$P$2,C880=2024,K880*$P$3)</f>
        <v>0.44999999999999996</v>
      </c>
    </row>
    <row r="881" spans="1:14">
      <c r="A881" s="2">
        <v>880</v>
      </c>
      <c r="B881" s="3">
        <v>45159</v>
      </c>
      <c r="C881" s="4">
        <f t="shared" si="39"/>
        <v>2023</v>
      </c>
      <c r="D881" s="4" t="s">
        <v>927</v>
      </c>
      <c r="E881" s="4" t="s">
        <v>16</v>
      </c>
      <c r="F881" s="4">
        <v>22</v>
      </c>
      <c r="G881" s="4" t="str" cm="1">
        <f t="array" ref="G881">_xlfn.IFS(F881&lt;30,"Young Adult",F881&lt;50,"Adult",F881&gt;=50,"Senior")</f>
        <v>Young Adult</v>
      </c>
      <c r="H881" s="4" t="s">
        <v>17</v>
      </c>
      <c r="I881" s="4">
        <v>2</v>
      </c>
      <c r="J881" s="11">
        <v>500</v>
      </c>
      <c r="K881" s="13">
        <f>I881*J881</f>
        <v>1000</v>
      </c>
      <c r="L881" s="19">
        <f t="shared" si="40"/>
        <v>15</v>
      </c>
      <c r="M881" s="19">
        <f t="shared" si="41"/>
        <v>20</v>
      </c>
      <c r="N881" s="13" cm="1">
        <f t="array" ref="N881">_xlfn.IFS(C881=2023,K881*$P$2,C881=2024,K881*$P$3)</f>
        <v>15</v>
      </c>
    </row>
    <row r="882" spans="1:14">
      <c r="A882" s="2">
        <v>881</v>
      </c>
      <c r="B882" s="3">
        <v>45065</v>
      </c>
      <c r="C882" s="4">
        <f t="shared" si="39"/>
        <v>2023</v>
      </c>
      <c r="D882" s="4" t="s">
        <v>928</v>
      </c>
      <c r="E882" s="4" t="s">
        <v>16</v>
      </c>
      <c r="F882" s="4">
        <v>22</v>
      </c>
      <c r="G882" s="4" t="str" cm="1">
        <f t="array" ref="G882">_xlfn.IFS(F882&lt;30,"Young Adult",F882&lt;50,"Adult",F882&gt;=50,"Senior")</f>
        <v>Young Adult</v>
      </c>
      <c r="H882" s="4" t="s">
        <v>24</v>
      </c>
      <c r="I882" s="4">
        <v>1</v>
      </c>
      <c r="J882" s="11">
        <v>300</v>
      </c>
      <c r="K882" s="13">
        <f>I882*J882</f>
        <v>300</v>
      </c>
      <c r="L882" s="19">
        <f t="shared" si="40"/>
        <v>4.5</v>
      </c>
      <c r="M882" s="19">
        <f t="shared" si="41"/>
        <v>6</v>
      </c>
      <c r="N882" s="13" cm="1">
        <f t="array" ref="N882">_xlfn.IFS(C882=2023,K882*$P$2,C882=2024,K882*$P$3)</f>
        <v>4.5</v>
      </c>
    </row>
    <row r="883" spans="1:14">
      <c r="A883" s="2">
        <v>882</v>
      </c>
      <c r="B883" s="3">
        <v>45083</v>
      </c>
      <c r="C883" s="4">
        <f t="shared" si="39"/>
        <v>2023</v>
      </c>
      <c r="D883" s="4" t="s">
        <v>929</v>
      </c>
      <c r="E883" s="4" t="s">
        <v>20</v>
      </c>
      <c r="F883" s="4">
        <v>64</v>
      </c>
      <c r="G883" s="4" t="str" cm="1">
        <f t="array" ref="G883">_xlfn.IFS(F883&lt;30,"Young Adult",F883&lt;50,"Adult",F883&gt;=50,"Senior")</f>
        <v>Senior</v>
      </c>
      <c r="H883" s="4" t="s">
        <v>24</v>
      </c>
      <c r="I883" s="4">
        <v>2</v>
      </c>
      <c r="J883" s="11">
        <v>25</v>
      </c>
      <c r="K883" s="13">
        <f>I883*J883</f>
        <v>50</v>
      </c>
      <c r="L883" s="19">
        <f t="shared" si="40"/>
        <v>0.75</v>
      </c>
      <c r="M883" s="19">
        <f t="shared" si="41"/>
        <v>1</v>
      </c>
      <c r="N883" s="13" cm="1">
        <f t="array" ref="N883">_xlfn.IFS(C883=2023,K883*$P$2,C883=2024,K883*$P$3)</f>
        <v>0.75</v>
      </c>
    </row>
    <row r="884" spans="1:14">
      <c r="A884" s="2">
        <v>883</v>
      </c>
      <c r="B884" s="3">
        <v>45055</v>
      </c>
      <c r="C884" s="4">
        <f t="shared" si="39"/>
        <v>2023</v>
      </c>
      <c r="D884" s="4" t="s">
        <v>930</v>
      </c>
      <c r="E884" s="4" t="s">
        <v>16</v>
      </c>
      <c r="F884" s="4">
        <v>40</v>
      </c>
      <c r="G884" s="4" t="str" cm="1">
        <f t="array" ref="G884">_xlfn.IFS(F884&lt;30,"Young Adult",F884&lt;50,"Adult",F884&gt;=50,"Senior")</f>
        <v>Adult</v>
      </c>
      <c r="H884" s="4" t="s">
        <v>24</v>
      </c>
      <c r="I884" s="4">
        <v>1</v>
      </c>
      <c r="J884" s="11">
        <v>500</v>
      </c>
      <c r="K884" s="13">
        <f>I884*J884</f>
        <v>500</v>
      </c>
      <c r="L884" s="19">
        <f t="shared" si="40"/>
        <v>7.5</v>
      </c>
      <c r="M884" s="19">
        <f t="shared" si="41"/>
        <v>10</v>
      </c>
      <c r="N884" s="13" cm="1">
        <f t="array" ref="N884">_xlfn.IFS(C884=2023,K884*$P$2,C884=2024,K884*$P$3)</f>
        <v>7.5</v>
      </c>
    </row>
    <row r="885" spans="1:14">
      <c r="A885" s="2">
        <v>884</v>
      </c>
      <c r="B885" s="3">
        <v>45045</v>
      </c>
      <c r="C885" s="4">
        <f t="shared" si="39"/>
        <v>2023</v>
      </c>
      <c r="D885" s="4" t="s">
        <v>931</v>
      </c>
      <c r="E885" s="4" t="s">
        <v>20</v>
      </c>
      <c r="F885" s="4">
        <v>26</v>
      </c>
      <c r="G885" s="4" t="str" cm="1">
        <f t="array" ref="G885">_xlfn.IFS(F885&lt;30,"Young Adult",F885&lt;50,"Adult",F885&gt;=50,"Senior")</f>
        <v>Young Adult</v>
      </c>
      <c r="H885" s="4" t="s">
        <v>21</v>
      </c>
      <c r="I885" s="4">
        <v>2</v>
      </c>
      <c r="J885" s="11">
        <v>30</v>
      </c>
      <c r="K885" s="13">
        <f>I885*J885</f>
        <v>60</v>
      </c>
      <c r="L885" s="19">
        <f t="shared" si="40"/>
        <v>0.89999999999999991</v>
      </c>
      <c r="M885" s="19">
        <f t="shared" si="41"/>
        <v>1.2</v>
      </c>
      <c r="N885" s="13" cm="1">
        <f t="array" ref="N885">_xlfn.IFS(C885=2023,K885*$P$2,C885=2024,K885*$P$3)</f>
        <v>0.89999999999999991</v>
      </c>
    </row>
    <row r="886" spans="1:14">
      <c r="A886" s="2">
        <v>885</v>
      </c>
      <c r="B886" s="3">
        <v>44988</v>
      </c>
      <c r="C886" s="4">
        <f t="shared" si="39"/>
        <v>2023</v>
      </c>
      <c r="D886" s="4" t="s">
        <v>932</v>
      </c>
      <c r="E886" s="4" t="s">
        <v>20</v>
      </c>
      <c r="F886" s="4">
        <v>52</v>
      </c>
      <c r="G886" s="4" t="str" cm="1">
        <f t="array" ref="G886">_xlfn.IFS(F886&lt;30,"Young Adult",F886&lt;50,"Adult",F886&gt;=50,"Senior")</f>
        <v>Senior</v>
      </c>
      <c r="H886" s="4" t="s">
        <v>21</v>
      </c>
      <c r="I886" s="4">
        <v>4</v>
      </c>
      <c r="J886" s="11">
        <v>30</v>
      </c>
      <c r="K886" s="13">
        <f>I886*J886</f>
        <v>120</v>
      </c>
      <c r="L886" s="19">
        <f t="shared" si="40"/>
        <v>1.7999999999999998</v>
      </c>
      <c r="M886" s="19">
        <f t="shared" si="41"/>
        <v>2.4</v>
      </c>
      <c r="N886" s="13" cm="1">
        <f t="array" ref="N886">_xlfn.IFS(C886=2023,K886*$P$2,C886=2024,K886*$P$3)</f>
        <v>1.7999999999999998</v>
      </c>
    </row>
    <row r="887" spans="1:14">
      <c r="A887" s="2">
        <v>886</v>
      </c>
      <c r="B887" s="3">
        <v>45025</v>
      </c>
      <c r="C887" s="4">
        <f t="shared" si="39"/>
        <v>2023</v>
      </c>
      <c r="D887" s="4" t="s">
        <v>933</v>
      </c>
      <c r="E887" s="4" t="s">
        <v>16</v>
      </c>
      <c r="F887" s="4">
        <v>37</v>
      </c>
      <c r="G887" s="4" t="str" cm="1">
        <f t="array" ref="G887">_xlfn.IFS(F887&lt;30,"Young Adult",F887&lt;50,"Adult",F887&gt;=50,"Senior")</f>
        <v>Adult</v>
      </c>
      <c r="H887" s="4" t="s">
        <v>24</v>
      </c>
      <c r="I887" s="4">
        <v>3</v>
      </c>
      <c r="J887" s="11">
        <v>300</v>
      </c>
      <c r="K887" s="13">
        <f>I887*J887</f>
        <v>900</v>
      </c>
      <c r="L887" s="19">
        <f t="shared" si="40"/>
        <v>13.5</v>
      </c>
      <c r="M887" s="19">
        <f t="shared" si="41"/>
        <v>18</v>
      </c>
      <c r="N887" s="13" cm="1">
        <f t="array" ref="N887">_xlfn.IFS(C887=2023,K887*$P$2,C887=2024,K887*$P$3)</f>
        <v>13.5</v>
      </c>
    </row>
    <row r="888" spans="1:14">
      <c r="A888" s="2">
        <v>887</v>
      </c>
      <c r="B888" s="3">
        <v>45088</v>
      </c>
      <c r="C888" s="4">
        <f t="shared" si="39"/>
        <v>2023</v>
      </c>
      <c r="D888" s="4" t="s">
        <v>934</v>
      </c>
      <c r="E888" s="4" t="s">
        <v>16</v>
      </c>
      <c r="F888" s="4">
        <v>59</v>
      </c>
      <c r="G888" s="4" t="str" cm="1">
        <f t="array" ref="G888">_xlfn.IFS(F888&lt;30,"Young Adult",F888&lt;50,"Adult",F888&gt;=50,"Senior")</f>
        <v>Senior</v>
      </c>
      <c r="H888" s="4" t="s">
        <v>21</v>
      </c>
      <c r="I888" s="4">
        <v>4</v>
      </c>
      <c r="J888" s="11">
        <v>25</v>
      </c>
      <c r="K888" s="13">
        <f>I888*J888</f>
        <v>100</v>
      </c>
      <c r="L888" s="19">
        <f t="shared" si="40"/>
        <v>1.5</v>
      </c>
      <c r="M888" s="19">
        <f t="shared" si="41"/>
        <v>2</v>
      </c>
      <c r="N888" s="13" cm="1">
        <f t="array" ref="N888">_xlfn.IFS(C888=2023,K888*$P$2,C888=2024,K888*$P$3)</f>
        <v>1.5</v>
      </c>
    </row>
    <row r="889" spans="1:14">
      <c r="A889" s="2">
        <v>888</v>
      </c>
      <c r="B889" s="3">
        <v>44988</v>
      </c>
      <c r="C889" s="4">
        <f t="shared" si="39"/>
        <v>2023</v>
      </c>
      <c r="D889" s="4" t="s">
        <v>935</v>
      </c>
      <c r="E889" s="4" t="s">
        <v>20</v>
      </c>
      <c r="F889" s="4">
        <v>52</v>
      </c>
      <c r="G889" s="4" t="str" cm="1">
        <f t="array" ref="G889">_xlfn.IFS(F889&lt;30,"Young Adult",F889&lt;50,"Adult",F889&gt;=50,"Senior")</f>
        <v>Senior</v>
      </c>
      <c r="H889" s="4" t="s">
        <v>24</v>
      </c>
      <c r="I889" s="4">
        <v>4</v>
      </c>
      <c r="J889" s="11">
        <v>25</v>
      </c>
      <c r="K889" s="13">
        <f>I889*J889</f>
        <v>100</v>
      </c>
      <c r="L889" s="19">
        <f t="shared" si="40"/>
        <v>1.5</v>
      </c>
      <c r="M889" s="19">
        <f t="shared" si="41"/>
        <v>2</v>
      </c>
      <c r="N889" s="13" cm="1">
        <f t="array" ref="N889">_xlfn.IFS(C889=2023,K889*$P$2,C889=2024,K889*$P$3)</f>
        <v>1.5</v>
      </c>
    </row>
    <row r="890" spans="1:14">
      <c r="A890" s="2">
        <v>889</v>
      </c>
      <c r="B890" s="3">
        <v>45201</v>
      </c>
      <c r="C890" s="4">
        <f t="shared" si="39"/>
        <v>2023</v>
      </c>
      <c r="D890" s="4" t="s">
        <v>936</v>
      </c>
      <c r="E890" s="4" t="s">
        <v>20</v>
      </c>
      <c r="F890" s="4">
        <v>35</v>
      </c>
      <c r="G890" s="4" t="str" cm="1">
        <f t="array" ref="G890">_xlfn.IFS(F890&lt;30,"Young Adult",F890&lt;50,"Adult",F890&gt;=50,"Senior")</f>
        <v>Adult</v>
      </c>
      <c r="H890" s="4" t="s">
        <v>24</v>
      </c>
      <c r="I890" s="4">
        <v>1</v>
      </c>
      <c r="J890" s="11">
        <v>50</v>
      </c>
      <c r="K890" s="13">
        <f>I890*J890</f>
        <v>50</v>
      </c>
      <c r="L890" s="19">
        <f t="shared" si="40"/>
        <v>0.75</v>
      </c>
      <c r="M890" s="19">
        <f t="shared" si="41"/>
        <v>1</v>
      </c>
      <c r="N890" s="13" cm="1">
        <f t="array" ref="N890">_xlfn.IFS(C890=2023,K890*$P$2,C890=2024,K890*$P$3)</f>
        <v>0.75</v>
      </c>
    </row>
    <row r="891" spans="1:14">
      <c r="A891" s="2">
        <v>890</v>
      </c>
      <c r="B891" s="3">
        <v>45280</v>
      </c>
      <c r="C891" s="4">
        <f t="shared" si="39"/>
        <v>2023</v>
      </c>
      <c r="D891" s="4" t="s">
        <v>937</v>
      </c>
      <c r="E891" s="4" t="s">
        <v>16</v>
      </c>
      <c r="F891" s="4">
        <v>34</v>
      </c>
      <c r="G891" s="4" t="str" cm="1">
        <f t="array" ref="G891">_xlfn.IFS(F891&lt;30,"Young Adult",F891&lt;50,"Adult",F891&gt;=50,"Senior")</f>
        <v>Adult</v>
      </c>
      <c r="H891" s="4" t="s">
        <v>24</v>
      </c>
      <c r="I891" s="4">
        <v>2</v>
      </c>
      <c r="J891" s="11">
        <v>25</v>
      </c>
      <c r="K891" s="13">
        <f>I891*J891</f>
        <v>50</v>
      </c>
      <c r="L891" s="19">
        <f t="shared" si="40"/>
        <v>0.75</v>
      </c>
      <c r="M891" s="19">
        <f t="shared" si="41"/>
        <v>1</v>
      </c>
      <c r="N891" s="13" cm="1">
        <f t="array" ref="N891">_xlfn.IFS(C891=2023,K891*$P$2,C891=2024,K891*$P$3)</f>
        <v>0.75</v>
      </c>
    </row>
    <row r="892" spans="1:14">
      <c r="A892" s="2">
        <v>891</v>
      </c>
      <c r="B892" s="3">
        <v>45021</v>
      </c>
      <c r="C892" s="4">
        <f t="shared" si="39"/>
        <v>2023</v>
      </c>
      <c r="D892" s="4" t="s">
        <v>938</v>
      </c>
      <c r="E892" s="4" t="s">
        <v>16</v>
      </c>
      <c r="F892" s="4">
        <v>41</v>
      </c>
      <c r="G892" s="4" t="str" cm="1">
        <f t="array" ref="G892">_xlfn.IFS(F892&lt;30,"Young Adult",F892&lt;50,"Adult",F892&gt;=50,"Senior")</f>
        <v>Adult</v>
      </c>
      <c r="H892" s="4" t="s">
        <v>24</v>
      </c>
      <c r="I892" s="4">
        <v>3</v>
      </c>
      <c r="J892" s="11">
        <v>300</v>
      </c>
      <c r="K892" s="13">
        <f>I892*J892</f>
        <v>900</v>
      </c>
      <c r="L892" s="19">
        <f t="shared" si="40"/>
        <v>13.5</v>
      </c>
      <c r="M892" s="19">
        <f t="shared" si="41"/>
        <v>18</v>
      </c>
      <c r="N892" s="13" cm="1">
        <f t="array" ref="N892">_xlfn.IFS(C892=2023,K892*$P$2,C892=2024,K892*$P$3)</f>
        <v>13.5</v>
      </c>
    </row>
    <row r="893" spans="1:14">
      <c r="A893" s="2">
        <v>892</v>
      </c>
      <c r="B893" s="3">
        <v>45025</v>
      </c>
      <c r="C893" s="4">
        <f t="shared" si="39"/>
        <v>2023</v>
      </c>
      <c r="D893" s="4" t="s">
        <v>939</v>
      </c>
      <c r="E893" s="4" t="s">
        <v>16</v>
      </c>
      <c r="F893" s="4">
        <v>20</v>
      </c>
      <c r="G893" s="4" t="str" cm="1">
        <f t="array" ref="G893">_xlfn.IFS(F893&lt;30,"Young Adult",F893&lt;50,"Adult",F893&gt;=50,"Senior")</f>
        <v>Young Adult</v>
      </c>
      <c r="H893" s="4" t="s">
        <v>24</v>
      </c>
      <c r="I893" s="4">
        <v>1</v>
      </c>
      <c r="J893" s="11">
        <v>50</v>
      </c>
      <c r="K893" s="13">
        <f>I893*J893</f>
        <v>50</v>
      </c>
      <c r="L893" s="19">
        <f t="shared" si="40"/>
        <v>0.75</v>
      </c>
      <c r="M893" s="19">
        <f t="shared" si="41"/>
        <v>1</v>
      </c>
      <c r="N893" s="13" cm="1">
        <f t="array" ref="N893">_xlfn.IFS(C893=2023,K893*$P$2,C893=2024,K893*$P$3)</f>
        <v>0.75</v>
      </c>
    </row>
    <row r="894" spans="1:14">
      <c r="A894" s="2">
        <v>893</v>
      </c>
      <c r="B894" s="3">
        <v>45037</v>
      </c>
      <c r="C894" s="4">
        <f t="shared" si="39"/>
        <v>2023</v>
      </c>
      <c r="D894" s="4" t="s">
        <v>940</v>
      </c>
      <c r="E894" s="4" t="s">
        <v>16</v>
      </c>
      <c r="F894" s="4">
        <v>49</v>
      </c>
      <c r="G894" s="4" t="str" cm="1">
        <f t="array" ref="G894">_xlfn.IFS(F894&lt;30,"Young Adult",F894&lt;50,"Adult",F894&gt;=50,"Senior")</f>
        <v>Adult</v>
      </c>
      <c r="H894" s="4" t="s">
        <v>24</v>
      </c>
      <c r="I894" s="4">
        <v>1</v>
      </c>
      <c r="J894" s="11">
        <v>50</v>
      </c>
      <c r="K894" s="13">
        <f>I894*J894</f>
        <v>50</v>
      </c>
      <c r="L894" s="19">
        <f t="shared" si="40"/>
        <v>0.75</v>
      </c>
      <c r="M894" s="19">
        <f t="shared" si="41"/>
        <v>1</v>
      </c>
      <c r="N894" s="13" cm="1">
        <f t="array" ref="N894">_xlfn.IFS(C894=2023,K894*$P$2,C894=2024,K894*$P$3)</f>
        <v>0.75</v>
      </c>
    </row>
    <row r="895" spans="1:14">
      <c r="A895" s="2">
        <v>894</v>
      </c>
      <c r="B895" s="3">
        <v>45174</v>
      </c>
      <c r="C895" s="4">
        <f t="shared" si="39"/>
        <v>2023</v>
      </c>
      <c r="D895" s="4" t="s">
        <v>941</v>
      </c>
      <c r="E895" s="4" t="s">
        <v>16</v>
      </c>
      <c r="F895" s="4">
        <v>52</v>
      </c>
      <c r="G895" s="4" t="str" cm="1">
        <f t="array" ref="G895">_xlfn.IFS(F895&lt;30,"Young Adult",F895&lt;50,"Adult",F895&gt;=50,"Senior")</f>
        <v>Senior</v>
      </c>
      <c r="H895" s="4" t="s">
        <v>24</v>
      </c>
      <c r="I895" s="4">
        <v>1</v>
      </c>
      <c r="J895" s="11">
        <v>30</v>
      </c>
      <c r="K895" s="13">
        <f>I895*J895</f>
        <v>30</v>
      </c>
      <c r="L895" s="19">
        <f t="shared" si="40"/>
        <v>0.44999999999999996</v>
      </c>
      <c r="M895" s="19">
        <f t="shared" si="41"/>
        <v>0.6</v>
      </c>
      <c r="N895" s="13" cm="1">
        <f t="array" ref="N895">_xlfn.IFS(C895=2023,K895*$P$2,C895=2024,K895*$P$3)</f>
        <v>0.44999999999999996</v>
      </c>
    </row>
    <row r="896" spans="1:14">
      <c r="A896" s="2">
        <v>895</v>
      </c>
      <c r="B896" s="3">
        <v>45068</v>
      </c>
      <c r="C896" s="4">
        <f t="shared" si="39"/>
        <v>2023</v>
      </c>
      <c r="D896" s="4" t="s">
        <v>942</v>
      </c>
      <c r="E896" s="4" t="s">
        <v>20</v>
      </c>
      <c r="F896" s="4">
        <v>55</v>
      </c>
      <c r="G896" s="4" t="str" cm="1">
        <f t="array" ref="G896">_xlfn.IFS(F896&lt;30,"Young Adult",F896&lt;50,"Adult",F896&gt;=50,"Senior")</f>
        <v>Senior</v>
      </c>
      <c r="H896" s="4" t="s">
        <v>21</v>
      </c>
      <c r="I896" s="4">
        <v>4</v>
      </c>
      <c r="J896" s="11">
        <v>30</v>
      </c>
      <c r="K896" s="13">
        <f>I896*J896</f>
        <v>120</v>
      </c>
      <c r="L896" s="19">
        <f t="shared" si="40"/>
        <v>1.7999999999999998</v>
      </c>
      <c r="M896" s="19">
        <f t="shared" si="41"/>
        <v>2.4</v>
      </c>
      <c r="N896" s="13" cm="1">
        <f t="array" ref="N896">_xlfn.IFS(C896=2023,K896*$P$2,C896=2024,K896*$P$3)</f>
        <v>1.7999999999999998</v>
      </c>
    </row>
    <row r="897" spans="1:14">
      <c r="A897" s="2">
        <v>896</v>
      </c>
      <c r="B897" s="3">
        <v>45228</v>
      </c>
      <c r="C897" s="4">
        <f t="shared" si="39"/>
        <v>2023</v>
      </c>
      <c r="D897" s="4" t="s">
        <v>943</v>
      </c>
      <c r="E897" s="4" t="s">
        <v>20</v>
      </c>
      <c r="F897" s="4">
        <v>30</v>
      </c>
      <c r="G897" s="4" t="str" cm="1">
        <f t="array" ref="G897">_xlfn.IFS(F897&lt;30,"Young Adult",F897&lt;50,"Adult",F897&gt;=50,"Senior")</f>
        <v>Adult</v>
      </c>
      <c r="H897" s="4" t="s">
        <v>24</v>
      </c>
      <c r="I897" s="4">
        <v>2</v>
      </c>
      <c r="J897" s="11">
        <v>25</v>
      </c>
      <c r="K897" s="13">
        <f>I897*J897</f>
        <v>50</v>
      </c>
      <c r="L897" s="19">
        <f t="shared" si="40"/>
        <v>0.75</v>
      </c>
      <c r="M897" s="19">
        <f t="shared" si="41"/>
        <v>1</v>
      </c>
      <c r="N897" s="13" cm="1">
        <f t="array" ref="N897">_xlfn.IFS(C897=2023,K897*$P$2,C897=2024,K897*$P$3)</f>
        <v>0.75</v>
      </c>
    </row>
    <row r="898" spans="1:14">
      <c r="A898" s="2">
        <v>897</v>
      </c>
      <c r="B898" s="3">
        <v>45195</v>
      </c>
      <c r="C898" s="4">
        <f t="shared" si="39"/>
        <v>2023</v>
      </c>
      <c r="D898" s="4" t="s">
        <v>944</v>
      </c>
      <c r="E898" s="4" t="s">
        <v>20</v>
      </c>
      <c r="F898" s="4">
        <v>64</v>
      </c>
      <c r="G898" s="4" t="str" cm="1">
        <f t="array" ref="G898">_xlfn.IFS(F898&lt;30,"Young Adult",F898&lt;50,"Adult",F898&gt;=50,"Senior")</f>
        <v>Senior</v>
      </c>
      <c r="H898" s="4" t="s">
        <v>24</v>
      </c>
      <c r="I898" s="4">
        <v>2</v>
      </c>
      <c r="J898" s="11">
        <v>50</v>
      </c>
      <c r="K898" s="13">
        <f>I898*J898</f>
        <v>100</v>
      </c>
      <c r="L898" s="19">
        <f t="shared" si="40"/>
        <v>1.5</v>
      </c>
      <c r="M898" s="19">
        <f t="shared" si="41"/>
        <v>2</v>
      </c>
      <c r="N898" s="13" cm="1">
        <f t="array" ref="N898">_xlfn.IFS(C898=2023,K898*$P$2,C898=2024,K898*$P$3)</f>
        <v>1.5</v>
      </c>
    </row>
    <row r="899" spans="1:14">
      <c r="A899" s="2">
        <v>898</v>
      </c>
      <c r="B899" s="3">
        <v>45232</v>
      </c>
      <c r="C899" s="4">
        <f t="shared" ref="C899:C962" si="42">YEAR(B899)</f>
        <v>2023</v>
      </c>
      <c r="D899" s="4" t="s">
        <v>945</v>
      </c>
      <c r="E899" s="4" t="s">
        <v>20</v>
      </c>
      <c r="F899" s="4">
        <v>42</v>
      </c>
      <c r="G899" s="4" t="str" cm="1">
        <f t="array" ref="G899">_xlfn.IFS(F899&lt;30,"Young Adult",F899&lt;50,"Adult",F899&gt;=50,"Senior")</f>
        <v>Adult</v>
      </c>
      <c r="H899" s="4" t="s">
        <v>21</v>
      </c>
      <c r="I899" s="4">
        <v>3</v>
      </c>
      <c r="J899" s="11">
        <v>30</v>
      </c>
      <c r="K899" s="13">
        <f>I899*J899</f>
        <v>90</v>
      </c>
      <c r="L899" s="19">
        <f t="shared" ref="L899:L962" si="43">K899*$P$2</f>
        <v>1.3499999999999999</v>
      </c>
      <c r="M899" s="19">
        <f t="shared" ref="M899:M962" si="44">K899*$P$3</f>
        <v>1.8</v>
      </c>
      <c r="N899" s="13" cm="1">
        <f t="array" ref="N899">_xlfn.IFS(C899=2023,K899*$P$2,C899=2024,K899*$P$3)</f>
        <v>1.3499999999999999</v>
      </c>
    </row>
    <row r="900" spans="1:14">
      <c r="A900" s="2">
        <v>899</v>
      </c>
      <c r="B900" s="3">
        <v>45071</v>
      </c>
      <c r="C900" s="4">
        <f t="shared" si="42"/>
        <v>2023</v>
      </c>
      <c r="D900" s="4" t="s">
        <v>946</v>
      </c>
      <c r="E900" s="4" t="s">
        <v>16</v>
      </c>
      <c r="F900" s="4">
        <v>26</v>
      </c>
      <c r="G900" s="4" t="str" cm="1">
        <f t="array" ref="G900">_xlfn.IFS(F900&lt;30,"Young Adult",F900&lt;50,"Adult",F900&gt;=50,"Senior")</f>
        <v>Young Adult</v>
      </c>
      <c r="H900" s="4" t="s">
        <v>21</v>
      </c>
      <c r="I900" s="4">
        <v>2</v>
      </c>
      <c r="J900" s="11">
        <v>300</v>
      </c>
      <c r="K900" s="13">
        <f>I900*J900</f>
        <v>600</v>
      </c>
      <c r="L900" s="19">
        <f t="shared" si="43"/>
        <v>9</v>
      </c>
      <c r="M900" s="19">
        <f t="shared" si="44"/>
        <v>12</v>
      </c>
      <c r="N900" s="13" cm="1">
        <f t="array" ref="N900">_xlfn.IFS(C900=2023,K900*$P$2,C900=2024,K900*$P$3)</f>
        <v>9</v>
      </c>
    </row>
    <row r="901" spans="1:14">
      <c r="A901" s="2">
        <v>900</v>
      </c>
      <c r="B901" s="3">
        <v>44978</v>
      </c>
      <c r="C901" s="4">
        <f t="shared" si="42"/>
        <v>2023</v>
      </c>
      <c r="D901" s="4" t="s">
        <v>947</v>
      </c>
      <c r="E901" s="4" t="s">
        <v>16</v>
      </c>
      <c r="F901" s="4">
        <v>21</v>
      </c>
      <c r="G901" s="4" t="str" cm="1">
        <f t="array" ref="G901">_xlfn.IFS(F901&lt;30,"Young Adult",F901&lt;50,"Adult",F901&gt;=50,"Senior")</f>
        <v>Young Adult</v>
      </c>
      <c r="H901" s="4" t="s">
        <v>21</v>
      </c>
      <c r="I901" s="4">
        <v>2</v>
      </c>
      <c r="J901" s="11">
        <v>30</v>
      </c>
      <c r="K901" s="13">
        <f>I901*J901</f>
        <v>60</v>
      </c>
      <c r="L901" s="19">
        <f t="shared" si="43"/>
        <v>0.89999999999999991</v>
      </c>
      <c r="M901" s="19">
        <f t="shared" si="44"/>
        <v>1.2</v>
      </c>
      <c r="N901" s="13" cm="1">
        <f t="array" ref="N901">_xlfn.IFS(C901=2023,K901*$P$2,C901=2024,K901*$P$3)</f>
        <v>0.89999999999999991</v>
      </c>
    </row>
    <row r="902" spans="1:14">
      <c r="A902" s="2">
        <v>901</v>
      </c>
      <c r="B902" s="3">
        <v>45026</v>
      </c>
      <c r="C902" s="4">
        <f t="shared" si="42"/>
        <v>2023</v>
      </c>
      <c r="D902" s="4" t="s">
        <v>948</v>
      </c>
      <c r="E902" s="4" t="s">
        <v>16</v>
      </c>
      <c r="F902" s="4">
        <v>31</v>
      </c>
      <c r="G902" s="4" t="str" cm="1">
        <f t="array" ref="G902">_xlfn.IFS(F902&lt;30,"Young Adult",F902&lt;50,"Adult",F902&gt;=50,"Senior")</f>
        <v>Adult</v>
      </c>
      <c r="H902" s="4" t="s">
        <v>24</v>
      </c>
      <c r="I902" s="4">
        <v>1</v>
      </c>
      <c r="J902" s="11">
        <v>30</v>
      </c>
      <c r="K902" s="13">
        <f>I902*J902</f>
        <v>30</v>
      </c>
      <c r="L902" s="19">
        <f t="shared" si="43"/>
        <v>0.44999999999999996</v>
      </c>
      <c r="M902" s="19">
        <f t="shared" si="44"/>
        <v>0.6</v>
      </c>
      <c r="N902" s="13" cm="1">
        <f t="array" ref="N902">_xlfn.IFS(C902=2023,K902*$P$2,C902=2024,K902*$P$3)</f>
        <v>0.44999999999999996</v>
      </c>
    </row>
    <row r="903" spans="1:14">
      <c r="A903" s="2">
        <v>902</v>
      </c>
      <c r="B903" s="3">
        <v>45078</v>
      </c>
      <c r="C903" s="4">
        <f t="shared" si="42"/>
        <v>2023</v>
      </c>
      <c r="D903" s="4" t="s">
        <v>949</v>
      </c>
      <c r="E903" s="4" t="s">
        <v>20</v>
      </c>
      <c r="F903" s="4">
        <v>54</v>
      </c>
      <c r="G903" s="4" t="str" cm="1">
        <f t="array" ref="G903">_xlfn.IFS(F903&lt;30,"Young Adult",F903&lt;50,"Adult",F903&gt;=50,"Senior")</f>
        <v>Senior</v>
      </c>
      <c r="H903" s="4" t="s">
        <v>17</v>
      </c>
      <c r="I903" s="4">
        <v>1</v>
      </c>
      <c r="J903" s="11">
        <v>50</v>
      </c>
      <c r="K903" s="13">
        <f>I903*J903</f>
        <v>50</v>
      </c>
      <c r="L903" s="19">
        <f t="shared" si="43"/>
        <v>0.75</v>
      </c>
      <c r="M903" s="19">
        <f t="shared" si="44"/>
        <v>1</v>
      </c>
      <c r="N903" s="13" cm="1">
        <f t="array" ref="N903">_xlfn.IFS(C903=2023,K903*$P$2,C903=2024,K903*$P$3)</f>
        <v>0.75</v>
      </c>
    </row>
    <row r="904" spans="1:14">
      <c r="A904" s="2">
        <v>903</v>
      </c>
      <c r="B904" s="3">
        <v>45043</v>
      </c>
      <c r="C904" s="4">
        <f t="shared" si="42"/>
        <v>2023</v>
      </c>
      <c r="D904" s="4" t="s">
        <v>950</v>
      </c>
      <c r="E904" s="4" t="s">
        <v>20</v>
      </c>
      <c r="F904" s="4">
        <v>51</v>
      </c>
      <c r="G904" s="4" t="str" cm="1">
        <f t="array" ref="G904">_xlfn.IFS(F904&lt;30,"Young Adult",F904&lt;50,"Adult",F904&gt;=50,"Senior")</f>
        <v>Senior</v>
      </c>
      <c r="H904" s="4" t="s">
        <v>17</v>
      </c>
      <c r="I904" s="4">
        <v>4</v>
      </c>
      <c r="J904" s="11">
        <v>50</v>
      </c>
      <c r="K904" s="13">
        <f>I904*J904</f>
        <v>200</v>
      </c>
      <c r="L904" s="19">
        <f t="shared" si="43"/>
        <v>3</v>
      </c>
      <c r="M904" s="19">
        <f t="shared" si="44"/>
        <v>4</v>
      </c>
      <c r="N904" s="13" cm="1">
        <f t="array" ref="N904">_xlfn.IFS(C904=2023,K904*$P$2,C904=2024,K904*$P$3)</f>
        <v>3</v>
      </c>
    </row>
    <row r="905" spans="1:14">
      <c r="A905" s="2">
        <v>904</v>
      </c>
      <c r="B905" s="3">
        <v>45111</v>
      </c>
      <c r="C905" s="4">
        <f t="shared" si="42"/>
        <v>2023</v>
      </c>
      <c r="D905" s="4" t="s">
        <v>951</v>
      </c>
      <c r="E905" s="4" t="s">
        <v>16</v>
      </c>
      <c r="F905" s="4">
        <v>28</v>
      </c>
      <c r="G905" s="4" t="str" cm="1">
        <f t="array" ref="G905">_xlfn.IFS(F905&lt;30,"Young Adult",F905&lt;50,"Adult",F905&gt;=50,"Senior")</f>
        <v>Young Adult</v>
      </c>
      <c r="H905" s="4" t="s">
        <v>21</v>
      </c>
      <c r="I905" s="4">
        <v>1</v>
      </c>
      <c r="J905" s="11">
        <v>500</v>
      </c>
      <c r="K905" s="13">
        <f>I905*J905</f>
        <v>500</v>
      </c>
      <c r="L905" s="19">
        <f t="shared" si="43"/>
        <v>7.5</v>
      </c>
      <c r="M905" s="19">
        <f t="shared" si="44"/>
        <v>10</v>
      </c>
      <c r="N905" s="13" cm="1">
        <f t="array" ref="N905">_xlfn.IFS(C905=2023,K905*$P$2,C905=2024,K905*$P$3)</f>
        <v>7.5</v>
      </c>
    </row>
    <row r="906" spans="1:14">
      <c r="A906" s="2">
        <v>905</v>
      </c>
      <c r="B906" s="3">
        <v>45018</v>
      </c>
      <c r="C906" s="4">
        <f t="shared" si="42"/>
        <v>2023</v>
      </c>
      <c r="D906" s="4" t="s">
        <v>952</v>
      </c>
      <c r="E906" s="4" t="s">
        <v>16</v>
      </c>
      <c r="F906" s="4">
        <v>58</v>
      </c>
      <c r="G906" s="4" t="str" cm="1">
        <f t="array" ref="G906">_xlfn.IFS(F906&lt;30,"Young Adult",F906&lt;50,"Adult",F906&gt;=50,"Senior")</f>
        <v>Senior</v>
      </c>
      <c r="H906" s="4" t="s">
        <v>17</v>
      </c>
      <c r="I906" s="4">
        <v>1</v>
      </c>
      <c r="J906" s="11">
        <v>300</v>
      </c>
      <c r="K906" s="13">
        <f>I906*J906</f>
        <v>300</v>
      </c>
      <c r="L906" s="19">
        <f t="shared" si="43"/>
        <v>4.5</v>
      </c>
      <c r="M906" s="19">
        <f t="shared" si="44"/>
        <v>6</v>
      </c>
      <c r="N906" s="13" cm="1">
        <f t="array" ref="N906">_xlfn.IFS(C906=2023,K906*$P$2,C906=2024,K906*$P$3)</f>
        <v>4.5</v>
      </c>
    </row>
    <row r="907" spans="1:14">
      <c r="A907" s="2">
        <v>906</v>
      </c>
      <c r="B907" s="3">
        <v>45081</v>
      </c>
      <c r="C907" s="4">
        <f t="shared" si="42"/>
        <v>2023</v>
      </c>
      <c r="D907" s="4" t="s">
        <v>953</v>
      </c>
      <c r="E907" s="4" t="s">
        <v>20</v>
      </c>
      <c r="F907" s="4">
        <v>20</v>
      </c>
      <c r="G907" s="4" t="str" cm="1">
        <f t="array" ref="G907">_xlfn.IFS(F907&lt;30,"Young Adult",F907&lt;50,"Adult",F907&gt;=50,"Senior")</f>
        <v>Young Adult</v>
      </c>
      <c r="H907" s="4" t="s">
        <v>21</v>
      </c>
      <c r="I907" s="4">
        <v>1</v>
      </c>
      <c r="J907" s="11">
        <v>50</v>
      </c>
      <c r="K907" s="13">
        <f>I907*J907</f>
        <v>50</v>
      </c>
      <c r="L907" s="19">
        <f t="shared" si="43"/>
        <v>0.75</v>
      </c>
      <c r="M907" s="19">
        <f t="shared" si="44"/>
        <v>1</v>
      </c>
      <c r="N907" s="13" cm="1">
        <f t="array" ref="N907">_xlfn.IFS(C907=2023,K907*$P$2,C907=2024,K907*$P$3)</f>
        <v>0.75</v>
      </c>
    </row>
    <row r="908" spans="1:14">
      <c r="A908" s="2">
        <v>907</v>
      </c>
      <c r="B908" s="3">
        <v>44934</v>
      </c>
      <c r="C908" s="4">
        <f t="shared" si="42"/>
        <v>2023</v>
      </c>
      <c r="D908" s="4" t="s">
        <v>954</v>
      </c>
      <c r="E908" s="4" t="s">
        <v>20</v>
      </c>
      <c r="F908" s="4">
        <v>45</v>
      </c>
      <c r="G908" s="4" t="str" cm="1">
        <f t="array" ref="G908">_xlfn.IFS(F908&lt;30,"Young Adult",F908&lt;50,"Adult",F908&gt;=50,"Senior")</f>
        <v>Adult</v>
      </c>
      <c r="H908" s="4" t="s">
        <v>24</v>
      </c>
      <c r="I908" s="4">
        <v>1</v>
      </c>
      <c r="J908" s="11">
        <v>25</v>
      </c>
      <c r="K908" s="13">
        <f>I908*J908</f>
        <v>25</v>
      </c>
      <c r="L908" s="19">
        <f t="shared" si="43"/>
        <v>0.375</v>
      </c>
      <c r="M908" s="19">
        <f t="shared" si="44"/>
        <v>0.5</v>
      </c>
      <c r="N908" s="13" cm="1">
        <f t="array" ref="N908">_xlfn.IFS(C908=2023,K908*$P$2,C908=2024,K908*$P$3)</f>
        <v>0.375</v>
      </c>
    </row>
    <row r="909" spans="1:14">
      <c r="A909" s="2">
        <v>908</v>
      </c>
      <c r="B909" s="3">
        <v>45289</v>
      </c>
      <c r="C909" s="4">
        <f t="shared" si="42"/>
        <v>2023</v>
      </c>
      <c r="D909" s="4" t="s">
        <v>955</v>
      </c>
      <c r="E909" s="4" t="s">
        <v>16</v>
      </c>
      <c r="F909" s="4">
        <v>46</v>
      </c>
      <c r="G909" s="4" t="str" cm="1">
        <f t="array" ref="G909">_xlfn.IFS(F909&lt;30,"Young Adult",F909&lt;50,"Adult",F909&gt;=50,"Senior")</f>
        <v>Adult</v>
      </c>
      <c r="H909" s="4" t="s">
        <v>17</v>
      </c>
      <c r="I909" s="4">
        <v>4</v>
      </c>
      <c r="J909" s="11">
        <v>300</v>
      </c>
      <c r="K909" s="13">
        <f>I909*J909</f>
        <v>1200</v>
      </c>
      <c r="L909" s="19">
        <f t="shared" si="43"/>
        <v>18</v>
      </c>
      <c r="M909" s="19">
        <f t="shared" si="44"/>
        <v>24</v>
      </c>
      <c r="N909" s="13" cm="1">
        <f t="array" ref="N909">_xlfn.IFS(C909=2023,K909*$P$2,C909=2024,K909*$P$3)</f>
        <v>18</v>
      </c>
    </row>
    <row r="910" spans="1:14">
      <c r="A910" s="2">
        <v>909</v>
      </c>
      <c r="B910" s="3">
        <v>45200</v>
      </c>
      <c r="C910" s="4">
        <f t="shared" si="42"/>
        <v>2023</v>
      </c>
      <c r="D910" s="4" t="s">
        <v>956</v>
      </c>
      <c r="E910" s="4" t="s">
        <v>16</v>
      </c>
      <c r="F910" s="4">
        <v>26</v>
      </c>
      <c r="G910" s="4" t="str" cm="1">
        <f t="array" ref="G910">_xlfn.IFS(F910&lt;30,"Young Adult",F910&lt;50,"Adult",F910&gt;=50,"Senior")</f>
        <v>Young Adult</v>
      </c>
      <c r="H910" s="4" t="s">
        <v>24</v>
      </c>
      <c r="I910" s="4">
        <v>1</v>
      </c>
      <c r="J910" s="11">
        <v>300</v>
      </c>
      <c r="K910" s="13">
        <f>I910*J910</f>
        <v>300</v>
      </c>
      <c r="L910" s="19">
        <f t="shared" si="43"/>
        <v>4.5</v>
      </c>
      <c r="M910" s="19">
        <f t="shared" si="44"/>
        <v>6</v>
      </c>
      <c r="N910" s="13" cm="1">
        <f t="array" ref="N910">_xlfn.IFS(C910=2023,K910*$P$2,C910=2024,K910*$P$3)</f>
        <v>4.5</v>
      </c>
    </row>
    <row r="911" spans="1:14">
      <c r="A911" s="2">
        <v>910</v>
      </c>
      <c r="B911" s="3">
        <v>44991</v>
      </c>
      <c r="C911" s="4">
        <f t="shared" si="42"/>
        <v>2023</v>
      </c>
      <c r="D911" s="4" t="s">
        <v>957</v>
      </c>
      <c r="E911" s="4" t="s">
        <v>20</v>
      </c>
      <c r="F911" s="4">
        <v>20</v>
      </c>
      <c r="G911" s="4" t="str" cm="1">
        <f t="array" ref="G911">_xlfn.IFS(F911&lt;30,"Young Adult",F911&lt;50,"Adult",F911&gt;=50,"Senior")</f>
        <v>Young Adult</v>
      </c>
      <c r="H911" s="4" t="s">
        <v>17</v>
      </c>
      <c r="I911" s="4">
        <v>3</v>
      </c>
      <c r="J911" s="11">
        <v>50</v>
      </c>
      <c r="K911" s="13">
        <f>I911*J911</f>
        <v>150</v>
      </c>
      <c r="L911" s="19">
        <f t="shared" si="43"/>
        <v>2.25</v>
      </c>
      <c r="M911" s="19">
        <f t="shared" si="44"/>
        <v>3</v>
      </c>
      <c r="N911" s="13" cm="1">
        <f t="array" ref="N911">_xlfn.IFS(C911=2023,K911*$P$2,C911=2024,K911*$P$3)</f>
        <v>2.25</v>
      </c>
    </row>
    <row r="912" spans="1:14">
      <c r="A912" s="2">
        <v>911</v>
      </c>
      <c r="B912" s="3">
        <v>45067</v>
      </c>
      <c r="C912" s="4">
        <f t="shared" si="42"/>
        <v>2023</v>
      </c>
      <c r="D912" s="4" t="s">
        <v>958</v>
      </c>
      <c r="E912" s="4" t="s">
        <v>16</v>
      </c>
      <c r="F912" s="4">
        <v>42</v>
      </c>
      <c r="G912" s="4" t="str" cm="1">
        <f t="array" ref="G912">_xlfn.IFS(F912&lt;30,"Young Adult",F912&lt;50,"Adult",F912&gt;=50,"Senior")</f>
        <v>Adult</v>
      </c>
      <c r="H912" s="4" t="s">
        <v>24</v>
      </c>
      <c r="I912" s="4">
        <v>3</v>
      </c>
      <c r="J912" s="11">
        <v>300</v>
      </c>
      <c r="K912" s="13">
        <f>I912*J912</f>
        <v>900</v>
      </c>
      <c r="L912" s="19">
        <f t="shared" si="43"/>
        <v>13.5</v>
      </c>
      <c r="M912" s="19">
        <f t="shared" si="44"/>
        <v>18</v>
      </c>
      <c r="N912" s="13" cm="1">
        <f t="array" ref="N912">_xlfn.IFS(C912=2023,K912*$P$2,C912=2024,K912*$P$3)</f>
        <v>13.5</v>
      </c>
    </row>
    <row r="913" spans="1:14">
      <c r="A913" s="2">
        <v>912</v>
      </c>
      <c r="B913" s="3">
        <v>44950</v>
      </c>
      <c r="C913" s="4">
        <f t="shared" si="42"/>
        <v>2023</v>
      </c>
      <c r="D913" s="4" t="s">
        <v>959</v>
      </c>
      <c r="E913" s="4" t="s">
        <v>16</v>
      </c>
      <c r="F913" s="4">
        <v>51</v>
      </c>
      <c r="G913" s="4" t="str" cm="1">
        <f t="array" ref="G913">_xlfn.IFS(F913&lt;30,"Young Adult",F913&lt;50,"Adult",F913&gt;=50,"Senior")</f>
        <v>Senior</v>
      </c>
      <c r="H913" s="4" t="s">
        <v>17</v>
      </c>
      <c r="I913" s="4">
        <v>3</v>
      </c>
      <c r="J913" s="11">
        <v>50</v>
      </c>
      <c r="K913" s="13">
        <f>I913*J913</f>
        <v>150</v>
      </c>
      <c r="L913" s="19">
        <f t="shared" si="43"/>
        <v>2.25</v>
      </c>
      <c r="M913" s="19">
        <f t="shared" si="44"/>
        <v>3</v>
      </c>
      <c r="N913" s="13" cm="1">
        <f t="array" ref="N913">_xlfn.IFS(C913=2023,K913*$P$2,C913=2024,K913*$P$3)</f>
        <v>2.25</v>
      </c>
    </row>
    <row r="914" spans="1:14">
      <c r="A914" s="2">
        <v>913</v>
      </c>
      <c r="B914" s="3">
        <v>44954</v>
      </c>
      <c r="C914" s="4">
        <f t="shared" si="42"/>
        <v>2023</v>
      </c>
      <c r="D914" s="4" t="s">
        <v>960</v>
      </c>
      <c r="E914" s="4" t="s">
        <v>16</v>
      </c>
      <c r="F914" s="4">
        <v>29</v>
      </c>
      <c r="G914" s="4" t="str" cm="1">
        <f t="array" ref="G914">_xlfn.IFS(F914&lt;30,"Young Adult",F914&lt;50,"Adult",F914&gt;=50,"Senior")</f>
        <v>Young Adult</v>
      </c>
      <c r="H914" s="4" t="s">
        <v>24</v>
      </c>
      <c r="I914" s="4">
        <v>3</v>
      </c>
      <c r="J914" s="11">
        <v>30</v>
      </c>
      <c r="K914" s="13">
        <f>I914*J914</f>
        <v>90</v>
      </c>
      <c r="L914" s="19">
        <f t="shared" si="43"/>
        <v>1.3499999999999999</v>
      </c>
      <c r="M914" s="19">
        <f t="shared" si="44"/>
        <v>1.8</v>
      </c>
      <c r="N914" s="13" cm="1">
        <f t="array" ref="N914">_xlfn.IFS(C914=2023,K914*$P$2,C914=2024,K914*$P$3)</f>
        <v>1.3499999999999999</v>
      </c>
    </row>
    <row r="915" spans="1:14">
      <c r="A915" s="2">
        <v>914</v>
      </c>
      <c r="B915" s="3">
        <v>45210</v>
      </c>
      <c r="C915" s="4">
        <f t="shared" si="42"/>
        <v>2023</v>
      </c>
      <c r="D915" s="4" t="s">
        <v>961</v>
      </c>
      <c r="E915" s="4" t="s">
        <v>20</v>
      </c>
      <c r="F915" s="4">
        <v>59</v>
      </c>
      <c r="G915" s="4" t="str" cm="1">
        <f t="array" ref="G915">_xlfn.IFS(F915&lt;30,"Young Adult",F915&lt;50,"Adult",F915&gt;=50,"Senior")</f>
        <v>Senior</v>
      </c>
      <c r="H915" s="4" t="s">
        <v>24</v>
      </c>
      <c r="I915" s="4">
        <v>1</v>
      </c>
      <c r="J915" s="11">
        <v>500</v>
      </c>
      <c r="K915" s="13">
        <f>I915*J915</f>
        <v>500</v>
      </c>
      <c r="L915" s="19">
        <f t="shared" si="43"/>
        <v>7.5</v>
      </c>
      <c r="M915" s="19">
        <f t="shared" si="44"/>
        <v>10</v>
      </c>
      <c r="N915" s="13" cm="1">
        <f t="array" ref="N915">_xlfn.IFS(C915=2023,K915*$P$2,C915=2024,K915*$P$3)</f>
        <v>7.5</v>
      </c>
    </row>
    <row r="916" spans="1:14">
      <c r="A916" s="2">
        <v>915</v>
      </c>
      <c r="B916" s="3">
        <v>45076</v>
      </c>
      <c r="C916" s="4">
        <f t="shared" si="42"/>
        <v>2023</v>
      </c>
      <c r="D916" s="4" t="s">
        <v>962</v>
      </c>
      <c r="E916" s="4" t="s">
        <v>20</v>
      </c>
      <c r="F916" s="4">
        <v>26</v>
      </c>
      <c r="G916" s="4" t="str" cm="1">
        <f t="array" ref="G916">_xlfn.IFS(F916&lt;30,"Young Adult",F916&lt;50,"Adult",F916&gt;=50,"Senior")</f>
        <v>Young Adult</v>
      </c>
      <c r="H916" s="4" t="s">
        <v>17</v>
      </c>
      <c r="I916" s="4">
        <v>3</v>
      </c>
      <c r="J916" s="11">
        <v>30</v>
      </c>
      <c r="K916" s="13">
        <f>I916*J916</f>
        <v>90</v>
      </c>
      <c r="L916" s="19">
        <f t="shared" si="43"/>
        <v>1.3499999999999999</v>
      </c>
      <c r="M916" s="19">
        <f t="shared" si="44"/>
        <v>1.8</v>
      </c>
      <c r="N916" s="13" cm="1">
        <f t="array" ref="N916">_xlfn.IFS(C916=2023,K916*$P$2,C916=2024,K916*$P$3)</f>
        <v>1.3499999999999999</v>
      </c>
    </row>
    <row r="917" spans="1:14">
      <c r="A917" s="2">
        <v>916</v>
      </c>
      <c r="B917" s="3">
        <v>45284</v>
      </c>
      <c r="C917" s="4">
        <f t="shared" si="42"/>
        <v>2023</v>
      </c>
      <c r="D917" s="4" t="s">
        <v>963</v>
      </c>
      <c r="E917" s="4" t="s">
        <v>20</v>
      </c>
      <c r="F917" s="4">
        <v>32</v>
      </c>
      <c r="G917" s="4" t="str" cm="1">
        <f t="array" ref="G917">_xlfn.IFS(F917&lt;30,"Young Adult",F917&lt;50,"Adult",F917&gt;=50,"Senior")</f>
        <v>Adult</v>
      </c>
      <c r="H917" s="4" t="s">
        <v>24</v>
      </c>
      <c r="I917" s="4">
        <v>1</v>
      </c>
      <c r="J917" s="11">
        <v>50</v>
      </c>
      <c r="K917" s="13">
        <f>I917*J917</f>
        <v>50</v>
      </c>
      <c r="L917" s="19">
        <f t="shared" si="43"/>
        <v>0.75</v>
      </c>
      <c r="M917" s="19">
        <f t="shared" si="44"/>
        <v>1</v>
      </c>
      <c r="N917" s="13" cm="1">
        <f t="array" ref="N917">_xlfn.IFS(C917=2023,K917*$P$2,C917=2024,K917*$P$3)</f>
        <v>0.75</v>
      </c>
    </row>
    <row r="918" spans="1:14">
      <c r="A918" s="2">
        <v>917</v>
      </c>
      <c r="B918" s="3">
        <v>44991</v>
      </c>
      <c r="C918" s="4">
        <f t="shared" si="42"/>
        <v>2023</v>
      </c>
      <c r="D918" s="4" t="s">
        <v>964</v>
      </c>
      <c r="E918" s="4" t="s">
        <v>20</v>
      </c>
      <c r="F918" s="4">
        <v>57</v>
      </c>
      <c r="G918" s="4" t="str" cm="1">
        <f t="array" ref="G918">_xlfn.IFS(F918&lt;30,"Young Adult",F918&lt;50,"Adult",F918&gt;=50,"Senior")</f>
        <v>Senior</v>
      </c>
      <c r="H918" s="4" t="s">
        <v>24</v>
      </c>
      <c r="I918" s="4">
        <v>4</v>
      </c>
      <c r="J918" s="11">
        <v>50</v>
      </c>
      <c r="K918" s="13">
        <f>I918*J918</f>
        <v>200</v>
      </c>
      <c r="L918" s="19">
        <f t="shared" si="43"/>
        <v>3</v>
      </c>
      <c r="M918" s="19">
        <f t="shared" si="44"/>
        <v>4</v>
      </c>
      <c r="N918" s="13" cm="1">
        <f t="array" ref="N918">_xlfn.IFS(C918=2023,K918*$P$2,C918=2024,K918*$P$3)</f>
        <v>3</v>
      </c>
    </row>
    <row r="919" spans="1:14">
      <c r="A919" s="2">
        <v>918</v>
      </c>
      <c r="B919" s="3">
        <v>45253</v>
      </c>
      <c r="C919" s="4">
        <f t="shared" si="42"/>
        <v>2023</v>
      </c>
      <c r="D919" s="4" t="s">
        <v>965</v>
      </c>
      <c r="E919" s="4" t="s">
        <v>20</v>
      </c>
      <c r="F919" s="4">
        <v>42</v>
      </c>
      <c r="G919" s="4" t="str" cm="1">
        <f t="array" ref="G919">_xlfn.IFS(F919&lt;30,"Young Adult",F919&lt;50,"Adult",F919&gt;=50,"Senior")</f>
        <v>Adult</v>
      </c>
      <c r="H919" s="4" t="s">
        <v>24</v>
      </c>
      <c r="I919" s="4">
        <v>3</v>
      </c>
      <c r="J919" s="11">
        <v>30</v>
      </c>
      <c r="K919" s="13">
        <f>I919*J919</f>
        <v>90</v>
      </c>
      <c r="L919" s="19">
        <f t="shared" si="43"/>
        <v>1.3499999999999999</v>
      </c>
      <c r="M919" s="19">
        <f t="shared" si="44"/>
        <v>1.8</v>
      </c>
      <c r="N919" s="13" cm="1">
        <f t="array" ref="N919">_xlfn.IFS(C919=2023,K919*$P$2,C919=2024,K919*$P$3)</f>
        <v>1.3499999999999999</v>
      </c>
    </row>
    <row r="920" spans="1:14">
      <c r="A920" s="2">
        <v>919</v>
      </c>
      <c r="B920" s="3">
        <v>45178</v>
      </c>
      <c r="C920" s="4">
        <f t="shared" si="42"/>
        <v>2023</v>
      </c>
      <c r="D920" s="4" t="s">
        <v>966</v>
      </c>
      <c r="E920" s="4" t="s">
        <v>20</v>
      </c>
      <c r="F920" s="4">
        <v>22</v>
      </c>
      <c r="G920" s="4" t="str" cm="1">
        <f t="array" ref="G920">_xlfn.IFS(F920&lt;30,"Young Adult",F920&lt;50,"Adult",F920&gt;=50,"Senior")</f>
        <v>Young Adult</v>
      </c>
      <c r="H920" s="4" t="s">
        <v>17</v>
      </c>
      <c r="I920" s="4">
        <v>2</v>
      </c>
      <c r="J920" s="11">
        <v>25</v>
      </c>
      <c r="K920" s="13">
        <f>I920*J920</f>
        <v>50</v>
      </c>
      <c r="L920" s="19">
        <f t="shared" si="43"/>
        <v>0.75</v>
      </c>
      <c r="M920" s="19">
        <f t="shared" si="44"/>
        <v>1</v>
      </c>
      <c r="N920" s="13" cm="1">
        <f t="array" ref="N920">_xlfn.IFS(C920=2023,K920*$P$2,C920=2024,K920*$P$3)</f>
        <v>0.75</v>
      </c>
    </row>
    <row r="921" spans="1:14">
      <c r="A921" s="2">
        <v>920</v>
      </c>
      <c r="B921" s="3">
        <v>44979</v>
      </c>
      <c r="C921" s="4">
        <f t="shared" si="42"/>
        <v>2023</v>
      </c>
      <c r="D921" s="4" t="s">
        <v>967</v>
      </c>
      <c r="E921" s="4" t="s">
        <v>20</v>
      </c>
      <c r="F921" s="4">
        <v>28</v>
      </c>
      <c r="G921" s="4" t="str" cm="1">
        <f t="array" ref="G921">_xlfn.IFS(F921&lt;30,"Young Adult",F921&lt;50,"Adult",F921&gt;=50,"Senior")</f>
        <v>Young Adult</v>
      </c>
      <c r="H921" s="4" t="s">
        <v>17</v>
      </c>
      <c r="I921" s="4">
        <v>3</v>
      </c>
      <c r="J921" s="11">
        <v>25</v>
      </c>
      <c r="K921" s="13">
        <f>I921*J921</f>
        <v>75</v>
      </c>
      <c r="L921" s="19">
        <f t="shared" si="43"/>
        <v>1.125</v>
      </c>
      <c r="M921" s="19">
        <f t="shared" si="44"/>
        <v>1.5</v>
      </c>
      <c r="N921" s="13" cm="1">
        <f t="array" ref="N921">_xlfn.IFS(C921=2023,K921*$P$2,C921=2024,K921*$P$3)</f>
        <v>1.125</v>
      </c>
    </row>
    <row r="922" spans="1:14">
      <c r="A922" s="2">
        <v>921</v>
      </c>
      <c r="B922" s="3">
        <v>44933</v>
      </c>
      <c r="C922" s="4">
        <f t="shared" si="42"/>
        <v>2023</v>
      </c>
      <c r="D922" s="4" t="s">
        <v>968</v>
      </c>
      <c r="E922" s="4" t="s">
        <v>16</v>
      </c>
      <c r="F922" s="4">
        <v>51</v>
      </c>
      <c r="G922" s="4" t="str" cm="1">
        <f t="array" ref="G922">_xlfn.IFS(F922&lt;30,"Young Adult",F922&lt;50,"Adult",F922&gt;=50,"Senior")</f>
        <v>Senior</v>
      </c>
      <c r="H922" s="4" t="s">
        <v>24</v>
      </c>
      <c r="I922" s="4">
        <v>3</v>
      </c>
      <c r="J922" s="11">
        <v>25</v>
      </c>
      <c r="K922" s="13">
        <f>I922*J922</f>
        <v>75</v>
      </c>
      <c r="L922" s="19">
        <f t="shared" si="43"/>
        <v>1.125</v>
      </c>
      <c r="M922" s="19">
        <f t="shared" si="44"/>
        <v>1.5</v>
      </c>
      <c r="N922" s="13" cm="1">
        <f t="array" ref="N922">_xlfn.IFS(C922=2023,K922*$P$2,C922=2024,K922*$P$3)</f>
        <v>1.125</v>
      </c>
    </row>
    <row r="923" spans="1:14">
      <c r="A923" s="2">
        <v>922</v>
      </c>
      <c r="B923" s="3">
        <v>45220</v>
      </c>
      <c r="C923" s="4">
        <f t="shared" si="42"/>
        <v>2023</v>
      </c>
      <c r="D923" s="4" t="s">
        <v>969</v>
      </c>
      <c r="E923" s="4" t="s">
        <v>16</v>
      </c>
      <c r="F923" s="4">
        <v>41</v>
      </c>
      <c r="G923" s="4" t="str" cm="1">
        <f t="array" ref="G923">_xlfn.IFS(F923&lt;30,"Young Adult",F923&lt;50,"Adult",F923&gt;=50,"Senior")</f>
        <v>Adult</v>
      </c>
      <c r="H923" s="4" t="s">
        <v>24</v>
      </c>
      <c r="I923" s="4">
        <v>1</v>
      </c>
      <c r="J923" s="11">
        <v>50</v>
      </c>
      <c r="K923" s="13">
        <f>I923*J923</f>
        <v>50</v>
      </c>
      <c r="L923" s="19">
        <f t="shared" si="43"/>
        <v>0.75</v>
      </c>
      <c r="M923" s="19">
        <f t="shared" si="44"/>
        <v>1</v>
      </c>
      <c r="N923" s="13" cm="1">
        <f t="array" ref="N923">_xlfn.IFS(C923=2023,K923*$P$2,C923=2024,K923*$P$3)</f>
        <v>0.75</v>
      </c>
    </row>
    <row r="924" spans="1:14">
      <c r="A924" s="2">
        <v>923</v>
      </c>
      <c r="B924" s="3">
        <v>45072</v>
      </c>
      <c r="C924" s="4">
        <f t="shared" si="42"/>
        <v>2023</v>
      </c>
      <c r="D924" s="4" t="s">
        <v>970</v>
      </c>
      <c r="E924" s="4" t="s">
        <v>16</v>
      </c>
      <c r="F924" s="4">
        <v>32</v>
      </c>
      <c r="G924" s="4" t="str" cm="1">
        <f t="array" ref="G924">_xlfn.IFS(F924&lt;30,"Young Adult",F924&lt;50,"Adult",F924&gt;=50,"Senior")</f>
        <v>Adult</v>
      </c>
      <c r="H924" s="4" t="s">
        <v>17</v>
      </c>
      <c r="I924" s="4">
        <v>3</v>
      </c>
      <c r="J924" s="11">
        <v>300</v>
      </c>
      <c r="K924" s="13">
        <f>I924*J924</f>
        <v>900</v>
      </c>
      <c r="L924" s="19">
        <f t="shared" si="43"/>
        <v>13.5</v>
      </c>
      <c r="M924" s="19">
        <f t="shared" si="44"/>
        <v>18</v>
      </c>
      <c r="N924" s="13" cm="1">
        <f t="array" ref="N924">_xlfn.IFS(C924=2023,K924*$P$2,C924=2024,K924*$P$3)</f>
        <v>13.5</v>
      </c>
    </row>
    <row r="925" spans="1:14">
      <c r="A925" s="2">
        <v>924</v>
      </c>
      <c r="B925" s="3">
        <v>45167</v>
      </c>
      <c r="C925" s="4">
        <f t="shared" si="42"/>
        <v>2023</v>
      </c>
      <c r="D925" s="4" t="s">
        <v>971</v>
      </c>
      <c r="E925" s="4" t="s">
        <v>16</v>
      </c>
      <c r="F925" s="4">
        <v>55</v>
      </c>
      <c r="G925" s="4" t="str" cm="1">
        <f t="array" ref="G925">_xlfn.IFS(F925&lt;30,"Young Adult",F925&lt;50,"Adult",F925&gt;=50,"Senior")</f>
        <v>Senior</v>
      </c>
      <c r="H925" s="4" t="s">
        <v>17</v>
      </c>
      <c r="I925" s="4">
        <v>2</v>
      </c>
      <c r="J925" s="11">
        <v>50</v>
      </c>
      <c r="K925" s="13">
        <f>I925*J925</f>
        <v>100</v>
      </c>
      <c r="L925" s="19">
        <f t="shared" si="43"/>
        <v>1.5</v>
      </c>
      <c r="M925" s="19">
        <f t="shared" si="44"/>
        <v>2</v>
      </c>
      <c r="N925" s="13" cm="1">
        <f t="array" ref="N925">_xlfn.IFS(C925=2023,K925*$P$2,C925=2024,K925*$P$3)</f>
        <v>1.5</v>
      </c>
    </row>
    <row r="926" spans="1:14">
      <c r="A926" s="2">
        <v>925</v>
      </c>
      <c r="B926" s="3">
        <v>45172</v>
      </c>
      <c r="C926" s="4">
        <f t="shared" si="42"/>
        <v>2023</v>
      </c>
      <c r="D926" s="4" t="s">
        <v>972</v>
      </c>
      <c r="E926" s="4" t="s">
        <v>16</v>
      </c>
      <c r="F926" s="4">
        <v>25</v>
      </c>
      <c r="G926" s="4" t="str" cm="1">
        <f t="array" ref="G926">_xlfn.IFS(F926&lt;30,"Young Adult",F926&lt;50,"Adult",F926&gt;=50,"Senior")</f>
        <v>Young Adult</v>
      </c>
      <c r="H926" s="4" t="s">
        <v>24</v>
      </c>
      <c r="I926" s="4">
        <v>1</v>
      </c>
      <c r="J926" s="11">
        <v>300</v>
      </c>
      <c r="K926" s="13">
        <f>I926*J926</f>
        <v>300</v>
      </c>
      <c r="L926" s="19">
        <f t="shared" si="43"/>
        <v>4.5</v>
      </c>
      <c r="M926" s="19">
        <f t="shared" si="44"/>
        <v>6</v>
      </c>
      <c r="N926" s="13" cm="1">
        <f t="array" ref="N926">_xlfn.IFS(C926=2023,K926*$P$2,C926=2024,K926*$P$3)</f>
        <v>4.5</v>
      </c>
    </row>
    <row r="927" spans="1:14">
      <c r="A927" s="2">
        <v>926</v>
      </c>
      <c r="B927" s="3">
        <v>45152</v>
      </c>
      <c r="C927" s="4">
        <f t="shared" si="42"/>
        <v>2023</v>
      </c>
      <c r="D927" s="4" t="s">
        <v>973</v>
      </c>
      <c r="E927" s="4" t="s">
        <v>16</v>
      </c>
      <c r="F927" s="4">
        <v>22</v>
      </c>
      <c r="G927" s="4" t="str" cm="1">
        <f t="array" ref="G927">_xlfn.IFS(F927&lt;30,"Young Adult",F927&lt;50,"Adult",F927&gt;=50,"Senior")</f>
        <v>Young Adult</v>
      </c>
      <c r="H927" s="4" t="s">
        <v>24</v>
      </c>
      <c r="I927" s="4">
        <v>1</v>
      </c>
      <c r="J927" s="11">
        <v>30</v>
      </c>
      <c r="K927" s="13">
        <f>I927*J927</f>
        <v>30</v>
      </c>
      <c r="L927" s="19">
        <f t="shared" si="43"/>
        <v>0.44999999999999996</v>
      </c>
      <c r="M927" s="19">
        <f t="shared" si="44"/>
        <v>0.6</v>
      </c>
      <c r="N927" s="13" cm="1">
        <f t="array" ref="N927">_xlfn.IFS(C927=2023,K927*$P$2,C927=2024,K927*$P$3)</f>
        <v>0.44999999999999996</v>
      </c>
    </row>
    <row r="928" spans="1:14">
      <c r="A928" s="2">
        <v>927</v>
      </c>
      <c r="B928" s="3">
        <v>45101</v>
      </c>
      <c r="C928" s="4">
        <f t="shared" si="42"/>
        <v>2023</v>
      </c>
      <c r="D928" s="4" t="s">
        <v>974</v>
      </c>
      <c r="E928" s="4" t="s">
        <v>16</v>
      </c>
      <c r="F928" s="4">
        <v>43</v>
      </c>
      <c r="G928" s="4" t="str" cm="1">
        <f t="array" ref="G928">_xlfn.IFS(F928&lt;30,"Young Adult",F928&lt;50,"Adult",F928&gt;=50,"Senior")</f>
        <v>Adult</v>
      </c>
      <c r="H928" s="4" t="s">
        <v>24</v>
      </c>
      <c r="I928" s="4">
        <v>4</v>
      </c>
      <c r="J928" s="11">
        <v>500</v>
      </c>
      <c r="K928" s="13">
        <f>I928*J928</f>
        <v>2000</v>
      </c>
      <c r="L928" s="19">
        <f t="shared" si="43"/>
        <v>30</v>
      </c>
      <c r="M928" s="19">
        <f t="shared" si="44"/>
        <v>40</v>
      </c>
      <c r="N928" s="13" cm="1">
        <f t="array" ref="N928">_xlfn.IFS(C928=2023,K928*$P$2,C928=2024,K928*$P$3)</f>
        <v>30</v>
      </c>
    </row>
    <row r="929" spans="1:14">
      <c r="A929" s="2">
        <v>928</v>
      </c>
      <c r="B929" s="3">
        <v>45021</v>
      </c>
      <c r="C929" s="4">
        <f t="shared" si="42"/>
        <v>2023</v>
      </c>
      <c r="D929" s="4" t="s">
        <v>975</v>
      </c>
      <c r="E929" s="4" t="s">
        <v>20</v>
      </c>
      <c r="F929" s="4">
        <v>35</v>
      </c>
      <c r="G929" s="4" t="str" cm="1">
        <f t="array" ref="G929">_xlfn.IFS(F929&lt;30,"Young Adult",F929&lt;50,"Adult",F929&gt;=50,"Senior")</f>
        <v>Adult</v>
      </c>
      <c r="H929" s="4" t="s">
        <v>21</v>
      </c>
      <c r="I929" s="4">
        <v>4</v>
      </c>
      <c r="J929" s="11">
        <v>300</v>
      </c>
      <c r="K929" s="13">
        <f>I929*J929</f>
        <v>1200</v>
      </c>
      <c r="L929" s="19">
        <f t="shared" si="43"/>
        <v>18</v>
      </c>
      <c r="M929" s="19">
        <f t="shared" si="44"/>
        <v>24</v>
      </c>
      <c r="N929" s="13" cm="1">
        <f t="array" ref="N929">_xlfn.IFS(C929=2023,K929*$P$2,C929=2024,K929*$P$3)</f>
        <v>18</v>
      </c>
    </row>
    <row r="930" spans="1:14">
      <c r="A930" s="2">
        <v>929</v>
      </c>
      <c r="B930" s="3">
        <v>44953</v>
      </c>
      <c r="C930" s="4">
        <f t="shared" si="42"/>
        <v>2023</v>
      </c>
      <c r="D930" s="4" t="s">
        <v>976</v>
      </c>
      <c r="E930" s="4" t="s">
        <v>20</v>
      </c>
      <c r="F930" s="4">
        <v>23</v>
      </c>
      <c r="G930" s="4" t="str" cm="1">
        <f t="array" ref="G930">_xlfn.IFS(F930&lt;30,"Young Adult",F930&lt;50,"Adult",F930&gt;=50,"Senior")</f>
        <v>Young Adult</v>
      </c>
      <c r="H930" s="4" t="s">
        <v>17</v>
      </c>
      <c r="I930" s="4">
        <v>3</v>
      </c>
      <c r="J930" s="11">
        <v>25</v>
      </c>
      <c r="K930" s="13">
        <f>I930*J930</f>
        <v>75</v>
      </c>
      <c r="L930" s="19">
        <f t="shared" si="43"/>
        <v>1.125</v>
      </c>
      <c r="M930" s="19">
        <f t="shared" si="44"/>
        <v>1.5</v>
      </c>
      <c r="N930" s="13" cm="1">
        <f t="array" ref="N930">_xlfn.IFS(C930=2023,K930*$P$2,C930=2024,K930*$P$3)</f>
        <v>1.125</v>
      </c>
    </row>
    <row r="931" spans="1:14">
      <c r="A931" s="2">
        <v>930</v>
      </c>
      <c r="B931" s="3">
        <v>45056</v>
      </c>
      <c r="C931" s="4">
        <f t="shared" si="42"/>
        <v>2023</v>
      </c>
      <c r="D931" s="4" t="s">
        <v>977</v>
      </c>
      <c r="E931" s="4" t="s">
        <v>16</v>
      </c>
      <c r="F931" s="4">
        <v>54</v>
      </c>
      <c r="G931" s="4" t="str" cm="1">
        <f t="array" ref="G931">_xlfn.IFS(F931&lt;30,"Young Adult",F931&lt;50,"Adult",F931&gt;=50,"Senior")</f>
        <v>Senior</v>
      </c>
      <c r="H931" s="4" t="s">
        <v>21</v>
      </c>
      <c r="I931" s="4">
        <v>4</v>
      </c>
      <c r="J931" s="11">
        <v>50</v>
      </c>
      <c r="K931" s="13">
        <f>I931*J931</f>
        <v>200</v>
      </c>
      <c r="L931" s="19">
        <f t="shared" si="43"/>
        <v>3</v>
      </c>
      <c r="M931" s="19">
        <f t="shared" si="44"/>
        <v>4</v>
      </c>
      <c r="N931" s="13" cm="1">
        <f t="array" ref="N931">_xlfn.IFS(C931=2023,K931*$P$2,C931=2024,K931*$P$3)</f>
        <v>3</v>
      </c>
    </row>
    <row r="932" spans="1:14">
      <c r="A932" s="2">
        <v>931</v>
      </c>
      <c r="B932" s="3">
        <v>45171</v>
      </c>
      <c r="C932" s="4">
        <f t="shared" si="42"/>
        <v>2023</v>
      </c>
      <c r="D932" s="4" t="s">
        <v>978</v>
      </c>
      <c r="E932" s="4" t="s">
        <v>16</v>
      </c>
      <c r="F932" s="4">
        <v>30</v>
      </c>
      <c r="G932" s="4" t="str" cm="1">
        <f t="array" ref="G932">_xlfn.IFS(F932&lt;30,"Young Adult",F932&lt;50,"Adult",F932&gt;=50,"Senior")</f>
        <v>Adult</v>
      </c>
      <c r="H932" s="4" t="s">
        <v>17</v>
      </c>
      <c r="I932" s="4">
        <v>4</v>
      </c>
      <c r="J932" s="11">
        <v>30</v>
      </c>
      <c r="K932" s="13">
        <f>I932*J932</f>
        <v>120</v>
      </c>
      <c r="L932" s="19">
        <f t="shared" si="43"/>
        <v>1.7999999999999998</v>
      </c>
      <c r="M932" s="19">
        <f t="shared" si="44"/>
        <v>2.4</v>
      </c>
      <c r="N932" s="13" cm="1">
        <f t="array" ref="N932">_xlfn.IFS(C932=2023,K932*$P$2,C932=2024,K932*$P$3)</f>
        <v>1.7999999999999998</v>
      </c>
    </row>
    <row r="933" spans="1:14">
      <c r="A933" s="2">
        <v>932</v>
      </c>
      <c r="B933" s="3">
        <v>44985</v>
      </c>
      <c r="C933" s="4">
        <f t="shared" si="42"/>
        <v>2023</v>
      </c>
      <c r="D933" s="4" t="s">
        <v>979</v>
      </c>
      <c r="E933" s="4" t="s">
        <v>20</v>
      </c>
      <c r="F933" s="4">
        <v>45</v>
      </c>
      <c r="G933" s="4" t="str" cm="1">
        <f t="array" ref="G933">_xlfn.IFS(F933&lt;30,"Young Adult",F933&lt;50,"Adult",F933&gt;=50,"Senior")</f>
        <v>Adult</v>
      </c>
      <c r="H933" s="4" t="s">
        <v>17</v>
      </c>
      <c r="I933" s="4">
        <v>4</v>
      </c>
      <c r="J933" s="11">
        <v>25</v>
      </c>
      <c r="K933" s="13">
        <f>I933*J933</f>
        <v>100</v>
      </c>
      <c r="L933" s="19">
        <f t="shared" si="43"/>
        <v>1.5</v>
      </c>
      <c r="M933" s="19">
        <f t="shared" si="44"/>
        <v>2</v>
      </c>
      <c r="N933" s="13" cm="1">
        <f t="array" ref="N933">_xlfn.IFS(C933=2023,K933*$P$2,C933=2024,K933*$P$3)</f>
        <v>1.5</v>
      </c>
    </row>
    <row r="934" spans="1:14">
      <c r="A934" s="2">
        <v>933</v>
      </c>
      <c r="B934" s="3">
        <v>44960</v>
      </c>
      <c r="C934" s="4">
        <f t="shared" si="42"/>
        <v>2023</v>
      </c>
      <c r="D934" s="4" t="s">
        <v>980</v>
      </c>
      <c r="E934" s="4" t="s">
        <v>16</v>
      </c>
      <c r="F934" s="4">
        <v>22</v>
      </c>
      <c r="G934" s="4" t="str" cm="1">
        <f t="array" ref="G934">_xlfn.IFS(F934&lt;30,"Young Adult",F934&lt;50,"Adult",F934&gt;=50,"Senior")</f>
        <v>Young Adult</v>
      </c>
      <c r="H934" s="4" t="s">
        <v>17</v>
      </c>
      <c r="I934" s="4">
        <v>1</v>
      </c>
      <c r="J934" s="11">
        <v>30</v>
      </c>
      <c r="K934" s="13">
        <f>I934*J934</f>
        <v>30</v>
      </c>
      <c r="L934" s="19">
        <f t="shared" si="43"/>
        <v>0.44999999999999996</v>
      </c>
      <c r="M934" s="19">
        <f t="shared" si="44"/>
        <v>0.6</v>
      </c>
      <c r="N934" s="13" cm="1">
        <f t="array" ref="N934">_xlfn.IFS(C934=2023,K934*$P$2,C934=2024,K934*$P$3)</f>
        <v>0.44999999999999996</v>
      </c>
    </row>
    <row r="935" spans="1:14">
      <c r="A935" s="2">
        <v>934</v>
      </c>
      <c r="B935" s="3">
        <v>45132</v>
      </c>
      <c r="C935" s="4">
        <f t="shared" si="42"/>
        <v>2023</v>
      </c>
      <c r="D935" s="4" t="s">
        <v>981</v>
      </c>
      <c r="E935" s="4" t="s">
        <v>16</v>
      </c>
      <c r="F935" s="4">
        <v>30</v>
      </c>
      <c r="G935" s="4" t="str" cm="1">
        <f t="array" ref="G935">_xlfn.IFS(F935&lt;30,"Young Adult",F935&lt;50,"Adult",F935&gt;=50,"Senior")</f>
        <v>Adult</v>
      </c>
      <c r="H935" s="4" t="s">
        <v>17</v>
      </c>
      <c r="I935" s="4">
        <v>1</v>
      </c>
      <c r="J935" s="11">
        <v>500</v>
      </c>
      <c r="K935" s="13">
        <f>I935*J935</f>
        <v>500</v>
      </c>
      <c r="L935" s="19">
        <f t="shared" si="43"/>
        <v>7.5</v>
      </c>
      <c r="M935" s="19">
        <f t="shared" si="44"/>
        <v>10</v>
      </c>
      <c r="N935" s="13" cm="1">
        <f t="array" ref="N935">_xlfn.IFS(C935=2023,K935*$P$2,C935=2024,K935*$P$3)</f>
        <v>7.5</v>
      </c>
    </row>
    <row r="936" spans="1:14">
      <c r="A936" s="2">
        <v>935</v>
      </c>
      <c r="B936" s="3">
        <v>45178</v>
      </c>
      <c r="C936" s="4">
        <f t="shared" si="42"/>
        <v>2023</v>
      </c>
      <c r="D936" s="4" t="s">
        <v>982</v>
      </c>
      <c r="E936" s="4" t="s">
        <v>20</v>
      </c>
      <c r="F936" s="4">
        <v>34</v>
      </c>
      <c r="G936" s="4" t="str" cm="1">
        <f t="array" ref="G936">_xlfn.IFS(F936&lt;30,"Young Adult",F936&lt;50,"Adult",F936&gt;=50,"Senior")</f>
        <v>Adult</v>
      </c>
      <c r="H936" s="4" t="s">
        <v>17</v>
      </c>
      <c r="I936" s="4">
        <v>1</v>
      </c>
      <c r="J936" s="11">
        <v>50</v>
      </c>
      <c r="K936" s="13">
        <f>I936*J936</f>
        <v>50</v>
      </c>
      <c r="L936" s="19">
        <f t="shared" si="43"/>
        <v>0.75</v>
      </c>
      <c r="M936" s="19">
        <f t="shared" si="44"/>
        <v>1</v>
      </c>
      <c r="N936" s="13" cm="1">
        <f t="array" ref="N936">_xlfn.IFS(C936=2023,K936*$P$2,C936=2024,K936*$P$3)</f>
        <v>0.75</v>
      </c>
    </row>
    <row r="937" spans="1:14">
      <c r="A937" s="2">
        <v>936</v>
      </c>
      <c r="B937" s="3">
        <v>44964</v>
      </c>
      <c r="C937" s="4">
        <f t="shared" si="42"/>
        <v>2023</v>
      </c>
      <c r="D937" s="4" t="s">
        <v>983</v>
      </c>
      <c r="E937" s="4" t="s">
        <v>16</v>
      </c>
      <c r="F937" s="4">
        <v>57</v>
      </c>
      <c r="G937" s="4" t="str" cm="1">
        <f t="array" ref="G937">_xlfn.IFS(F937&lt;30,"Young Adult",F937&lt;50,"Adult",F937&gt;=50,"Senior")</f>
        <v>Senior</v>
      </c>
      <c r="H937" s="4" t="s">
        <v>17</v>
      </c>
      <c r="I937" s="4">
        <v>4</v>
      </c>
      <c r="J937" s="11">
        <v>50</v>
      </c>
      <c r="K937" s="13">
        <f>I937*J937</f>
        <v>200</v>
      </c>
      <c r="L937" s="19">
        <f t="shared" si="43"/>
        <v>3</v>
      </c>
      <c r="M937" s="19">
        <f t="shared" si="44"/>
        <v>4</v>
      </c>
      <c r="N937" s="13" cm="1">
        <f t="array" ref="N937">_xlfn.IFS(C937=2023,K937*$P$2,C937=2024,K937*$P$3)</f>
        <v>3</v>
      </c>
    </row>
    <row r="938" spans="1:14">
      <c r="A938" s="2">
        <v>937</v>
      </c>
      <c r="B938" s="3">
        <v>45222</v>
      </c>
      <c r="C938" s="4">
        <f t="shared" si="42"/>
        <v>2023</v>
      </c>
      <c r="D938" s="4" t="s">
        <v>984</v>
      </c>
      <c r="E938" s="4" t="s">
        <v>20</v>
      </c>
      <c r="F938" s="4">
        <v>62</v>
      </c>
      <c r="G938" s="4" t="str" cm="1">
        <f t="array" ref="G938">_xlfn.IFS(F938&lt;30,"Young Adult",F938&lt;50,"Adult",F938&gt;=50,"Senior")</f>
        <v>Senior</v>
      </c>
      <c r="H938" s="4" t="s">
        <v>17</v>
      </c>
      <c r="I938" s="4">
        <v>1</v>
      </c>
      <c r="J938" s="11">
        <v>500</v>
      </c>
      <c r="K938" s="13">
        <f>I938*J938</f>
        <v>500</v>
      </c>
      <c r="L938" s="19">
        <f t="shared" si="43"/>
        <v>7.5</v>
      </c>
      <c r="M938" s="19">
        <f t="shared" si="44"/>
        <v>10</v>
      </c>
      <c r="N938" s="13" cm="1">
        <f t="array" ref="N938">_xlfn.IFS(C938=2023,K938*$P$2,C938=2024,K938*$P$3)</f>
        <v>7.5</v>
      </c>
    </row>
    <row r="939" spans="1:14">
      <c r="A939" s="2">
        <v>938</v>
      </c>
      <c r="B939" s="3">
        <v>45249</v>
      </c>
      <c r="C939" s="4">
        <f t="shared" si="42"/>
        <v>2023</v>
      </c>
      <c r="D939" s="4" t="s">
        <v>985</v>
      </c>
      <c r="E939" s="4" t="s">
        <v>16</v>
      </c>
      <c r="F939" s="4">
        <v>49</v>
      </c>
      <c r="G939" s="4" t="str" cm="1">
        <f t="array" ref="G939">_xlfn.IFS(F939&lt;30,"Young Adult",F939&lt;50,"Adult",F939&gt;=50,"Senior")</f>
        <v>Adult</v>
      </c>
      <c r="H939" s="4" t="s">
        <v>21</v>
      </c>
      <c r="I939" s="4">
        <v>4</v>
      </c>
      <c r="J939" s="11">
        <v>50</v>
      </c>
      <c r="K939" s="13">
        <f>I939*J939</f>
        <v>200</v>
      </c>
      <c r="L939" s="19">
        <f t="shared" si="43"/>
        <v>3</v>
      </c>
      <c r="M939" s="19">
        <f t="shared" si="44"/>
        <v>4</v>
      </c>
      <c r="N939" s="13" cm="1">
        <f t="array" ref="N939">_xlfn.IFS(C939=2023,K939*$P$2,C939=2024,K939*$P$3)</f>
        <v>3</v>
      </c>
    </row>
    <row r="940" spans="1:14">
      <c r="A940" s="2">
        <v>939</v>
      </c>
      <c r="B940" s="3">
        <v>45278</v>
      </c>
      <c r="C940" s="4">
        <f t="shared" si="42"/>
        <v>2023</v>
      </c>
      <c r="D940" s="4" t="s">
        <v>986</v>
      </c>
      <c r="E940" s="4" t="s">
        <v>20</v>
      </c>
      <c r="F940" s="4">
        <v>46</v>
      </c>
      <c r="G940" s="4" t="str" cm="1">
        <f t="array" ref="G940">_xlfn.IFS(F940&lt;30,"Young Adult",F940&lt;50,"Adult",F940&gt;=50,"Senior")</f>
        <v>Adult</v>
      </c>
      <c r="H940" s="4" t="s">
        <v>24</v>
      </c>
      <c r="I940" s="4">
        <v>1</v>
      </c>
      <c r="J940" s="11">
        <v>300</v>
      </c>
      <c r="K940" s="13">
        <f>I940*J940</f>
        <v>300</v>
      </c>
      <c r="L940" s="19">
        <f t="shared" si="43"/>
        <v>4.5</v>
      </c>
      <c r="M940" s="19">
        <f t="shared" si="44"/>
        <v>6</v>
      </c>
      <c r="N940" s="13" cm="1">
        <f t="array" ref="N940">_xlfn.IFS(C940=2023,K940*$P$2,C940=2024,K940*$P$3)</f>
        <v>4.5</v>
      </c>
    </row>
    <row r="941" spans="1:14">
      <c r="A941" s="2">
        <v>940</v>
      </c>
      <c r="B941" s="3">
        <v>44954</v>
      </c>
      <c r="C941" s="4">
        <f t="shared" si="42"/>
        <v>2023</v>
      </c>
      <c r="D941" s="4" t="s">
        <v>987</v>
      </c>
      <c r="E941" s="4" t="s">
        <v>20</v>
      </c>
      <c r="F941" s="4">
        <v>20</v>
      </c>
      <c r="G941" s="4" t="str" cm="1">
        <f t="array" ref="G941">_xlfn.IFS(F941&lt;30,"Young Adult",F941&lt;50,"Adult",F941&gt;=50,"Senior")</f>
        <v>Young Adult</v>
      </c>
      <c r="H941" s="4" t="s">
        <v>24</v>
      </c>
      <c r="I941" s="4">
        <v>1</v>
      </c>
      <c r="J941" s="11">
        <v>30</v>
      </c>
      <c r="K941" s="13">
        <f>I941*J941</f>
        <v>30</v>
      </c>
      <c r="L941" s="19">
        <f t="shared" si="43"/>
        <v>0.44999999999999996</v>
      </c>
      <c r="M941" s="19">
        <f t="shared" si="44"/>
        <v>0.6</v>
      </c>
      <c r="N941" s="13" cm="1">
        <f t="array" ref="N941">_xlfn.IFS(C941=2023,K941*$P$2,C941=2024,K941*$P$3)</f>
        <v>0.44999999999999996</v>
      </c>
    </row>
    <row r="942" spans="1:14">
      <c r="A942" s="2">
        <v>941</v>
      </c>
      <c r="B942" s="3">
        <v>45004</v>
      </c>
      <c r="C942" s="4">
        <f t="shared" si="42"/>
        <v>2023</v>
      </c>
      <c r="D942" s="4" t="s">
        <v>988</v>
      </c>
      <c r="E942" s="4" t="s">
        <v>20</v>
      </c>
      <c r="F942" s="4">
        <v>57</v>
      </c>
      <c r="G942" s="4" t="str" cm="1">
        <f t="array" ref="G942">_xlfn.IFS(F942&lt;30,"Young Adult",F942&lt;50,"Adult",F942&gt;=50,"Senior")</f>
        <v>Senior</v>
      </c>
      <c r="H942" s="4" t="s">
        <v>21</v>
      </c>
      <c r="I942" s="4">
        <v>2</v>
      </c>
      <c r="J942" s="11">
        <v>25</v>
      </c>
      <c r="K942" s="13">
        <f>I942*J942</f>
        <v>50</v>
      </c>
      <c r="L942" s="19">
        <f t="shared" si="43"/>
        <v>0.75</v>
      </c>
      <c r="M942" s="19">
        <f t="shared" si="44"/>
        <v>1</v>
      </c>
      <c r="N942" s="13" cm="1">
        <f t="array" ref="N942">_xlfn.IFS(C942=2023,K942*$P$2,C942=2024,K942*$P$3)</f>
        <v>0.75</v>
      </c>
    </row>
    <row r="943" spans="1:14">
      <c r="A943" s="2">
        <v>942</v>
      </c>
      <c r="B943" s="3">
        <v>45003</v>
      </c>
      <c r="C943" s="4">
        <f t="shared" si="42"/>
        <v>2023</v>
      </c>
      <c r="D943" s="4" t="s">
        <v>989</v>
      </c>
      <c r="E943" s="4" t="s">
        <v>16</v>
      </c>
      <c r="F943" s="4">
        <v>51</v>
      </c>
      <c r="G943" s="4" t="str" cm="1">
        <f t="array" ref="G943">_xlfn.IFS(F943&lt;30,"Young Adult",F943&lt;50,"Adult",F943&gt;=50,"Senior")</f>
        <v>Senior</v>
      </c>
      <c r="H943" s="4" t="s">
        <v>21</v>
      </c>
      <c r="I943" s="4">
        <v>3</v>
      </c>
      <c r="J943" s="11">
        <v>500</v>
      </c>
      <c r="K943" s="13">
        <f>I943*J943</f>
        <v>1500</v>
      </c>
      <c r="L943" s="19">
        <f t="shared" si="43"/>
        <v>22.5</v>
      </c>
      <c r="M943" s="19">
        <f t="shared" si="44"/>
        <v>30</v>
      </c>
      <c r="N943" s="13" cm="1">
        <f t="array" ref="N943">_xlfn.IFS(C943=2023,K943*$P$2,C943=2024,K943*$P$3)</f>
        <v>22.5</v>
      </c>
    </row>
    <row r="944" spans="1:14">
      <c r="A944" s="2">
        <v>943</v>
      </c>
      <c r="B944" s="3">
        <v>45215</v>
      </c>
      <c r="C944" s="4">
        <f t="shared" si="42"/>
        <v>2023</v>
      </c>
      <c r="D944" s="4" t="s">
        <v>990</v>
      </c>
      <c r="E944" s="4" t="s">
        <v>20</v>
      </c>
      <c r="F944" s="4">
        <v>57</v>
      </c>
      <c r="G944" s="4" t="str" cm="1">
        <f t="array" ref="G944">_xlfn.IFS(F944&lt;30,"Young Adult",F944&lt;50,"Adult",F944&gt;=50,"Senior")</f>
        <v>Senior</v>
      </c>
      <c r="H944" s="4" t="s">
        <v>21</v>
      </c>
      <c r="I944" s="4">
        <v>4</v>
      </c>
      <c r="J944" s="11">
        <v>300</v>
      </c>
      <c r="K944" s="13">
        <f>I944*J944</f>
        <v>1200</v>
      </c>
      <c r="L944" s="19">
        <f t="shared" si="43"/>
        <v>18</v>
      </c>
      <c r="M944" s="19">
        <f t="shared" si="44"/>
        <v>24</v>
      </c>
      <c r="N944" s="13" cm="1">
        <f t="array" ref="N944">_xlfn.IFS(C944=2023,K944*$P$2,C944=2024,K944*$P$3)</f>
        <v>18</v>
      </c>
    </row>
    <row r="945" spans="1:14">
      <c r="A945" s="2">
        <v>944</v>
      </c>
      <c r="B945" s="3">
        <v>45082</v>
      </c>
      <c r="C945" s="4">
        <f t="shared" si="42"/>
        <v>2023</v>
      </c>
      <c r="D945" s="4" t="s">
        <v>991</v>
      </c>
      <c r="E945" s="4" t="s">
        <v>16</v>
      </c>
      <c r="F945" s="4">
        <v>44</v>
      </c>
      <c r="G945" s="4" t="str" cm="1">
        <f t="array" ref="G945">_xlfn.IFS(F945&lt;30,"Young Adult",F945&lt;50,"Adult",F945&gt;=50,"Senior")</f>
        <v>Adult</v>
      </c>
      <c r="H945" s="4" t="s">
        <v>21</v>
      </c>
      <c r="I945" s="4">
        <v>2</v>
      </c>
      <c r="J945" s="11">
        <v>25</v>
      </c>
      <c r="K945" s="13">
        <f>I945*J945</f>
        <v>50</v>
      </c>
      <c r="L945" s="19">
        <f t="shared" si="43"/>
        <v>0.75</v>
      </c>
      <c r="M945" s="19">
        <f t="shared" si="44"/>
        <v>1</v>
      </c>
      <c r="N945" s="13" cm="1">
        <f t="array" ref="N945">_xlfn.IFS(C945=2023,K945*$P$2,C945=2024,K945*$P$3)</f>
        <v>0.75</v>
      </c>
    </row>
    <row r="946" spans="1:14">
      <c r="A946" s="2">
        <v>945</v>
      </c>
      <c r="B946" s="3">
        <v>44970</v>
      </c>
      <c r="C946" s="4">
        <f t="shared" si="42"/>
        <v>2023</v>
      </c>
      <c r="D946" s="4" t="s">
        <v>992</v>
      </c>
      <c r="E946" s="4" t="s">
        <v>16</v>
      </c>
      <c r="F946" s="4">
        <v>30</v>
      </c>
      <c r="G946" s="4" t="str" cm="1">
        <f t="array" ref="G946">_xlfn.IFS(F946&lt;30,"Young Adult",F946&lt;50,"Adult",F946&gt;=50,"Senior")</f>
        <v>Adult</v>
      </c>
      <c r="H946" s="4" t="s">
        <v>17</v>
      </c>
      <c r="I946" s="4">
        <v>1</v>
      </c>
      <c r="J946" s="11">
        <v>25</v>
      </c>
      <c r="K946" s="13">
        <f>I946*J946</f>
        <v>25</v>
      </c>
      <c r="L946" s="19">
        <f t="shared" si="43"/>
        <v>0.375</v>
      </c>
      <c r="M946" s="19">
        <f t="shared" si="44"/>
        <v>0.5</v>
      </c>
      <c r="N946" s="13" cm="1">
        <f t="array" ref="N946">_xlfn.IFS(C946=2023,K946*$P$2,C946=2024,K946*$P$3)</f>
        <v>0.375</v>
      </c>
    </row>
    <row r="947" spans="1:14">
      <c r="A947" s="2">
        <v>946</v>
      </c>
      <c r="B947" s="3">
        <v>45054</v>
      </c>
      <c r="C947" s="4">
        <f t="shared" si="42"/>
        <v>2023</v>
      </c>
      <c r="D947" s="4" t="s">
        <v>993</v>
      </c>
      <c r="E947" s="4" t="s">
        <v>16</v>
      </c>
      <c r="F947" s="4">
        <v>62</v>
      </c>
      <c r="G947" s="4" t="str" cm="1">
        <f t="array" ref="G947">_xlfn.IFS(F947&lt;30,"Young Adult",F947&lt;50,"Adult",F947&gt;=50,"Senior")</f>
        <v>Senior</v>
      </c>
      <c r="H947" s="4" t="s">
        <v>24</v>
      </c>
      <c r="I947" s="4">
        <v>4</v>
      </c>
      <c r="J947" s="11">
        <v>500</v>
      </c>
      <c r="K947" s="13">
        <f>I947*J947</f>
        <v>2000</v>
      </c>
      <c r="L947" s="19">
        <f t="shared" si="43"/>
        <v>30</v>
      </c>
      <c r="M947" s="19">
        <f t="shared" si="44"/>
        <v>40</v>
      </c>
      <c r="N947" s="13" cm="1">
        <f t="array" ref="N947">_xlfn.IFS(C947=2023,K947*$P$2,C947=2024,K947*$P$3)</f>
        <v>30</v>
      </c>
    </row>
    <row r="948" spans="1:14">
      <c r="A948" s="2">
        <v>947</v>
      </c>
      <c r="B948" s="3">
        <v>44987</v>
      </c>
      <c r="C948" s="4">
        <f t="shared" si="42"/>
        <v>2023</v>
      </c>
      <c r="D948" s="4" t="s">
        <v>994</v>
      </c>
      <c r="E948" s="4" t="s">
        <v>16</v>
      </c>
      <c r="F948" s="4">
        <v>50</v>
      </c>
      <c r="G948" s="4" t="str" cm="1">
        <f t="array" ref="G948">_xlfn.IFS(F948&lt;30,"Young Adult",F948&lt;50,"Adult",F948&gt;=50,"Senior")</f>
        <v>Senior</v>
      </c>
      <c r="H948" s="4" t="s">
        <v>17</v>
      </c>
      <c r="I948" s="4">
        <v>1</v>
      </c>
      <c r="J948" s="11">
        <v>300</v>
      </c>
      <c r="K948" s="13">
        <f>I948*J948</f>
        <v>300</v>
      </c>
      <c r="L948" s="19">
        <f t="shared" si="43"/>
        <v>4.5</v>
      </c>
      <c r="M948" s="19">
        <f t="shared" si="44"/>
        <v>6</v>
      </c>
      <c r="N948" s="13" cm="1">
        <f t="array" ref="N948">_xlfn.IFS(C948=2023,K948*$P$2,C948=2024,K948*$P$3)</f>
        <v>4.5</v>
      </c>
    </row>
    <row r="949" spans="1:14">
      <c r="A949" s="2">
        <v>948</v>
      </c>
      <c r="B949" s="3">
        <v>45212</v>
      </c>
      <c r="C949" s="4">
        <f t="shared" si="42"/>
        <v>2023</v>
      </c>
      <c r="D949" s="4" t="s">
        <v>995</v>
      </c>
      <c r="E949" s="4" t="s">
        <v>20</v>
      </c>
      <c r="F949" s="4">
        <v>23</v>
      </c>
      <c r="G949" s="4" t="str" cm="1">
        <f t="array" ref="G949">_xlfn.IFS(F949&lt;30,"Young Adult",F949&lt;50,"Adult",F949&gt;=50,"Senior")</f>
        <v>Young Adult</v>
      </c>
      <c r="H949" s="4" t="s">
        <v>24</v>
      </c>
      <c r="I949" s="4">
        <v>3</v>
      </c>
      <c r="J949" s="11">
        <v>25</v>
      </c>
      <c r="K949" s="13">
        <f>I949*J949</f>
        <v>75</v>
      </c>
      <c r="L949" s="19">
        <f t="shared" si="43"/>
        <v>1.125</v>
      </c>
      <c r="M949" s="19">
        <f t="shared" si="44"/>
        <v>1.5</v>
      </c>
      <c r="N949" s="13" cm="1">
        <f t="array" ref="N949">_xlfn.IFS(C949=2023,K949*$P$2,C949=2024,K949*$P$3)</f>
        <v>1.125</v>
      </c>
    </row>
    <row r="950" spans="1:14">
      <c r="A950" s="2">
        <v>949</v>
      </c>
      <c r="B950" s="3">
        <v>45140</v>
      </c>
      <c r="C950" s="4">
        <f t="shared" si="42"/>
        <v>2023</v>
      </c>
      <c r="D950" s="4" t="s">
        <v>996</v>
      </c>
      <c r="E950" s="4" t="s">
        <v>20</v>
      </c>
      <c r="F950" s="4">
        <v>41</v>
      </c>
      <c r="G950" s="4" t="str" cm="1">
        <f t="array" ref="G950">_xlfn.IFS(F950&lt;30,"Young Adult",F950&lt;50,"Adult",F950&gt;=50,"Senior")</f>
        <v>Adult</v>
      </c>
      <c r="H950" s="4" t="s">
        <v>24</v>
      </c>
      <c r="I950" s="4">
        <v>2</v>
      </c>
      <c r="J950" s="11">
        <v>25</v>
      </c>
      <c r="K950" s="13">
        <f>I950*J950</f>
        <v>50</v>
      </c>
      <c r="L950" s="19">
        <f t="shared" si="43"/>
        <v>0.75</v>
      </c>
      <c r="M950" s="19">
        <f t="shared" si="44"/>
        <v>1</v>
      </c>
      <c r="N950" s="13" cm="1">
        <f t="array" ref="N950">_xlfn.IFS(C950=2023,K950*$P$2,C950=2024,K950*$P$3)</f>
        <v>0.75</v>
      </c>
    </row>
    <row r="951" spans="1:14">
      <c r="A951" s="2">
        <v>950</v>
      </c>
      <c r="B951" s="3">
        <v>45237</v>
      </c>
      <c r="C951" s="4">
        <f t="shared" si="42"/>
        <v>2023</v>
      </c>
      <c r="D951" s="4" t="s">
        <v>997</v>
      </c>
      <c r="E951" s="4" t="s">
        <v>16</v>
      </c>
      <c r="F951" s="4">
        <v>36</v>
      </c>
      <c r="G951" s="4" t="str" cm="1">
        <f t="array" ref="G951">_xlfn.IFS(F951&lt;30,"Young Adult",F951&lt;50,"Adult",F951&gt;=50,"Senior")</f>
        <v>Adult</v>
      </c>
      <c r="H951" s="4" t="s">
        <v>21</v>
      </c>
      <c r="I951" s="4">
        <v>3</v>
      </c>
      <c r="J951" s="11">
        <v>300</v>
      </c>
      <c r="K951" s="13">
        <f>I951*J951</f>
        <v>900</v>
      </c>
      <c r="L951" s="19">
        <f t="shared" si="43"/>
        <v>13.5</v>
      </c>
      <c r="M951" s="19">
        <f t="shared" si="44"/>
        <v>18</v>
      </c>
      <c r="N951" s="13" cm="1">
        <f t="array" ref="N951">_xlfn.IFS(C951=2023,K951*$P$2,C951=2024,K951*$P$3)</f>
        <v>13.5</v>
      </c>
    </row>
    <row r="952" spans="1:14">
      <c r="A952" s="2">
        <v>951</v>
      </c>
      <c r="B952" s="3">
        <v>45232</v>
      </c>
      <c r="C952" s="4">
        <f t="shared" si="42"/>
        <v>2023</v>
      </c>
      <c r="D952" s="4" t="s">
        <v>998</v>
      </c>
      <c r="E952" s="4" t="s">
        <v>16</v>
      </c>
      <c r="F952" s="4">
        <v>33</v>
      </c>
      <c r="G952" s="4" t="str" cm="1">
        <f t="array" ref="G952">_xlfn.IFS(F952&lt;30,"Young Adult",F952&lt;50,"Adult",F952&gt;=50,"Senior")</f>
        <v>Adult</v>
      </c>
      <c r="H952" s="4" t="s">
        <v>17</v>
      </c>
      <c r="I952" s="4">
        <v>2</v>
      </c>
      <c r="J952" s="11">
        <v>50</v>
      </c>
      <c r="K952" s="13">
        <f>I952*J952</f>
        <v>100</v>
      </c>
      <c r="L952" s="19">
        <f t="shared" si="43"/>
        <v>1.5</v>
      </c>
      <c r="M952" s="19">
        <f t="shared" si="44"/>
        <v>2</v>
      </c>
      <c r="N952" s="13" cm="1">
        <f t="array" ref="N952">_xlfn.IFS(C952=2023,K952*$P$2,C952=2024,K952*$P$3)</f>
        <v>1.5</v>
      </c>
    </row>
    <row r="953" spans="1:14">
      <c r="A953" s="2">
        <v>952</v>
      </c>
      <c r="B953" s="3">
        <v>45243</v>
      </c>
      <c r="C953" s="4">
        <f t="shared" si="42"/>
        <v>2023</v>
      </c>
      <c r="D953" s="4" t="s">
        <v>999</v>
      </c>
      <c r="E953" s="4" t="s">
        <v>20</v>
      </c>
      <c r="F953" s="4">
        <v>57</v>
      </c>
      <c r="G953" s="4" t="str" cm="1">
        <f t="array" ref="G953">_xlfn.IFS(F953&lt;30,"Young Adult",F953&lt;50,"Adult",F953&gt;=50,"Senior")</f>
        <v>Senior</v>
      </c>
      <c r="H953" s="4" t="s">
        <v>21</v>
      </c>
      <c r="I953" s="4">
        <v>1</v>
      </c>
      <c r="J953" s="11">
        <v>25</v>
      </c>
      <c r="K953" s="13">
        <f>I953*J953</f>
        <v>25</v>
      </c>
      <c r="L953" s="19">
        <f t="shared" si="43"/>
        <v>0.375</v>
      </c>
      <c r="M953" s="19">
        <f t="shared" si="44"/>
        <v>0.5</v>
      </c>
      <c r="N953" s="13" cm="1">
        <f t="array" ref="N953">_xlfn.IFS(C953=2023,K953*$P$2,C953=2024,K953*$P$3)</f>
        <v>0.375</v>
      </c>
    </row>
    <row r="954" spans="1:14">
      <c r="A954" s="2">
        <v>953</v>
      </c>
      <c r="B954" s="3">
        <v>45042</v>
      </c>
      <c r="C954" s="4">
        <f t="shared" si="42"/>
        <v>2023</v>
      </c>
      <c r="D954" s="4" t="s">
        <v>1000</v>
      </c>
      <c r="E954" s="4" t="s">
        <v>16</v>
      </c>
      <c r="F954" s="4">
        <v>45</v>
      </c>
      <c r="G954" s="4" t="str" cm="1">
        <f t="array" ref="G954">_xlfn.IFS(F954&lt;30,"Young Adult",F954&lt;50,"Adult",F954&gt;=50,"Senior")</f>
        <v>Adult</v>
      </c>
      <c r="H954" s="4" t="s">
        <v>17</v>
      </c>
      <c r="I954" s="4">
        <v>3</v>
      </c>
      <c r="J954" s="11">
        <v>30</v>
      </c>
      <c r="K954" s="13">
        <f>I954*J954</f>
        <v>90</v>
      </c>
      <c r="L954" s="19">
        <f t="shared" si="43"/>
        <v>1.3499999999999999</v>
      </c>
      <c r="M954" s="19">
        <f t="shared" si="44"/>
        <v>1.8</v>
      </c>
      <c r="N954" s="13" cm="1">
        <f t="array" ref="N954">_xlfn.IFS(C954=2023,K954*$P$2,C954=2024,K954*$P$3)</f>
        <v>1.3499999999999999</v>
      </c>
    </row>
    <row r="955" spans="1:14">
      <c r="A955" s="2">
        <v>954</v>
      </c>
      <c r="B955" s="3">
        <v>45194</v>
      </c>
      <c r="C955" s="4">
        <f t="shared" si="42"/>
        <v>2023</v>
      </c>
      <c r="D955" s="4" t="s">
        <v>1001</v>
      </c>
      <c r="E955" s="4" t="s">
        <v>20</v>
      </c>
      <c r="F955" s="4">
        <v>50</v>
      </c>
      <c r="G955" s="4" t="str" cm="1">
        <f t="array" ref="G955">_xlfn.IFS(F955&lt;30,"Young Adult",F955&lt;50,"Adult",F955&gt;=50,"Senior")</f>
        <v>Senior</v>
      </c>
      <c r="H955" s="4" t="s">
        <v>24</v>
      </c>
      <c r="I955" s="4">
        <v>3</v>
      </c>
      <c r="J955" s="11">
        <v>300</v>
      </c>
      <c r="K955" s="13">
        <f>I955*J955</f>
        <v>900</v>
      </c>
      <c r="L955" s="19">
        <f t="shared" si="43"/>
        <v>13.5</v>
      </c>
      <c r="M955" s="19">
        <f t="shared" si="44"/>
        <v>18</v>
      </c>
      <c r="N955" s="13" cm="1">
        <f t="array" ref="N955">_xlfn.IFS(C955=2023,K955*$P$2,C955=2024,K955*$P$3)</f>
        <v>13.5</v>
      </c>
    </row>
    <row r="956" spans="1:14">
      <c r="A956" s="2">
        <v>955</v>
      </c>
      <c r="B956" s="3">
        <v>45121</v>
      </c>
      <c r="C956" s="4">
        <f t="shared" si="42"/>
        <v>2023</v>
      </c>
      <c r="D956" s="4" t="s">
        <v>1002</v>
      </c>
      <c r="E956" s="4" t="s">
        <v>16</v>
      </c>
      <c r="F956" s="4">
        <v>58</v>
      </c>
      <c r="G956" s="4" t="str" cm="1">
        <f t="array" ref="G956">_xlfn.IFS(F956&lt;30,"Young Adult",F956&lt;50,"Adult",F956&gt;=50,"Senior")</f>
        <v>Senior</v>
      </c>
      <c r="H956" s="4" t="s">
        <v>21</v>
      </c>
      <c r="I956" s="4">
        <v>1</v>
      </c>
      <c r="J956" s="11">
        <v>25</v>
      </c>
      <c r="K956" s="13">
        <f>I956*J956</f>
        <v>25</v>
      </c>
      <c r="L956" s="19">
        <f t="shared" si="43"/>
        <v>0.375</v>
      </c>
      <c r="M956" s="19">
        <f t="shared" si="44"/>
        <v>0.5</v>
      </c>
      <c r="N956" s="13" cm="1">
        <f t="array" ref="N956">_xlfn.IFS(C956=2023,K956*$P$2,C956=2024,K956*$P$3)</f>
        <v>0.375</v>
      </c>
    </row>
    <row r="957" spans="1:14">
      <c r="A957" s="2">
        <v>956</v>
      </c>
      <c r="B957" s="3">
        <v>45157</v>
      </c>
      <c r="C957" s="4">
        <f t="shared" si="42"/>
        <v>2023</v>
      </c>
      <c r="D957" s="4" t="s">
        <v>1003</v>
      </c>
      <c r="E957" s="4" t="s">
        <v>16</v>
      </c>
      <c r="F957" s="4">
        <v>30</v>
      </c>
      <c r="G957" s="4" t="str" cm="1">
        <f t="array" ref="G957">_xlfn.IFS(F957&lt;30,"Young Adult",F957&lt;50,"Adult",F957&gt;=50,"Senior")</f>
        <v>Adult</v>
      </c>
      <c r="H957" s="4" t="s">
        <v>21</v>
      </c>
      <c r="I957" s="4">
        <v>3</v>
      </c>
      <c r="J957" s="11">
        <v>500</v>
      </c>
      <c r="K957" s="13">
        <f>I957*J957</f>
        <v>1500</v>
      </c>
      <c r="L957" s="19">
        <f t="shared" si="43"/>
        <v>22.5</v>
      </c>
      <c r="M957" s="19">
        <f t="shared" si="44"/>
        <v>30</v>
      </c>
      <c r="N957" s="13" cm="1">
        <f t="array" ref="N957">_xlfn.IFS(C957=2023,K957*$P$2,C957=2024,K957*$P$3)</f>
        <v>22.5</v>
      </c>
    </row>
    <row r="958" spans="1:14">
      <c r="A958" s="2">
        <v>957</v>
      </c>
      <c r="B958" s="3">
        <v>45153</v>
      </c>
      <c r="C958" s="4">
        <f t="shared" si="42"/>
        <v>2023</v>
      </c>
      <c r="D958" s="4" t="s">
        <v>1004</v>
      </c>
      <c r="E958" s="4" t="s">
        <v>20</v>
      </c>
      <c r="F958" s="4">
        <v>60</v>
      </c>
      <c r="G958" s="4" t="str" cm="1">
        <f t="array" ref="G958">_xlfn.IFS(F958&lt;30,"Young Adult",F958&lt;50,"Adult",F958&gt;=50,"Senior")</f>
        <v>Senior</v>
      </c>
      <c r="H958" s="4" t="s">
        <v>24</v>
      </c>
      <c r="I958" s="4">
        <v>4</v>
      </c>
      <c r="J958" s="11">
        <v>30</v>
      </c>
      <c r="K958" s="13">
        <f>I958*J958</f>
        <v>120</v>
      </c>
      <c r="L958" s="19">
        <f t="shared" si="43"/>
        <v>1.7999999999999998</v>
      </c>
      <c r="M958" s="19">
        <f t="shared" si="44"/>
        <v>2.4</v>
      </c>
      <c r="N958" s="13" cm="1">
        <f t="array" ref="N958">_xlfn.IFS(C958=2023,K958*$P$2,C958=2024,K958*$P$3)</f>
        <v>1.7999999999999998</v>
      </c>
    </row>
    <row r="959" spans="1:14">
      <c r="A959" s="2">
        <v>958</v>
      </c>
      <c r="B959" s="3">
        <v>45079</v>
      </c>
      <c r="C959" s="4">
        <f t="shared" si="42"/>
        <v>2023</v>
      </c>
      <c r="D959" s="4" t="s">
        <v>1005</v>
      </c>
      <c r="E959" s="4" t="s">
        <v>16</v>
      </c>
      <c r="F959" s="4">
        <v>62</v>
      </c>
      <c r="G959" s="4" t="str" cm="1">
        <f t="array" ref="G959">_xlfn.IFS(F959&lt;30,"Young Adult",F959&lt;50,"Adult",F959&gt;=50,"Senior")</f>
        <v>Senior</v>
      </c>
      <c r="H959" s="4" t="s">
        <v>24</v>
      </c>
      <c r="I959" s="4">
        <v>2</v>
      </c>
      <c r="J959" s="11">
        <v>25</v>
      </c>
      <c r="K959" s="13">
        <f>I959*J959</f>
        <v>50</v>
      </c>
      <c r="L959" s="19">
        <f t="shared" si="43"/>
        <v>0.75</v>
      </c>
      <c r="M959" s="19">
        <f t="shared" si="44"/>
        <v>1</v>
      </c>
      <c r="N959" s="13" cm="1">
        <f t="array" ref="N959">_xlfn.IFS(C959=2023,K959*$P$2,C959=2024,K959*$P$3)</f>
        <v>0.75</v>
      </c>
    </row>
    <row r="960" spans="1:14">
      <c r="A960" s="2">
        <v>959</v>
      </c>
      <c r="B960" s="3">
        <v>45228</v>
      </c>
      <c r="C960" s="4">
        <f t="shared" si="42"/>
        <v>2023</v>
      </c>
      <c r="D960" s="4" t="s">
        <v>1006</v>
      </c>
      <c r="E960" s="4" t="s">
        <v>20</v>
      </c>
      <c r="F960" s="4">
        <v>42</v>
      </c>
      <c r="G960" s="4" t="str" cm="1">
        <f t="array" ref="G960">_xlfn.IFS(F960&lt;30,"Young Adult",F960&lt;50,"Adult",F960&gt;=50,"Senior")</f>
        <v>Adult</v>
      </c>
      <c r="H960" s="4" t="s">
        <v>24</v>
      </c>
      <c r="I960" s="4">
        <v>2</v>
      </c>
      <c r="J960" s="11">
        <v>30</v>
      </c>
      <c r="K960" s="13">
        <f>I960*J960</f>
        <v>60</v>
      </c>
      <c r="L960" s="19">
        <f t="shared" si="43"/>
        <v>0.89999999999999991</v>
      </c>
      <c r="M960" s="19">
        <f t="shared" si="44"/>
        <v>1.2</v>
      </c>
      <c r="N960" s="13" cm="1">
        <f t="array" ref="N960">_xlfn.IFS(C960=2023,K960*$P$2,C960=2024,K960*$P$3)</f>
        <v>0.89999999999999991</v>
      </c>
    </row>
    <row r="961" spans="1:14">
      <c r="A961" s="2">
        <v>960</v>
      </c>
      <c r="B961" s="3">
        <v>45146</v>
      </c>
      <c r="C961" s="4">
        <f t="shared" si="42"/>
        <v>2023</v>
      </c>
      <c r="D961" s="4" t="s">
        <v>1007</v>
      </c>
      <c r="E961" s="4" t="s">
        <v>16</v>
      </c>
      <c r="F961" s="4">
        <v>59</v>
      </c>
      <c r="G961" s="4" t="str" cm="1">
        <f t="array" ref="G961">_xlfn.IFS(F961&lt;30,"Young Adult",F961&lt;50,"Adult",F961&gt;=50,"Senior")</f>
        <v>Senior</v>
      </c>
      <c r="H961" s="4" t="s">
        <v>21</v>
      </c>
      <c r="I961" s="4">
        <v>2</v>
      </c>
      <c r="J961" s="11">
        <v>30</v>
      </c>
      <c r="K961" s="13">
        <f>I961*J961</f>
        <v>60</v>
      </c>
      <c r="L961" s="19">
        <f t="shared" si="43"/>
        <v>0.89999999999999991</v>
      </c>
      <c r="M961" s="19">
        <f t="shared" si="44"/>
        <v>1.2</v>
      </c>
      <c r="N961" s="13" cm="1">
        <f t="array" ref="N961">_xlfn.IFS(C961=2023,K961*$P$2,C961=2024,K961*$P$3)</f>
        <v>0.89999999999999991</v>
      </c>
    </row>
    <row r="962" spans="1:14">
      <c r="A962" s="2">
        <v>961</v>
      </c>
      <c r="B962" s="3">
        <v>45083</v>
      </c>
      <c r="C962" s="4">
        <f t="shared" si="42"/>
        <v>2023</v>
      </c>
      <c r="D962" s="4" t="s">
        <v>1008</v>
      </c>
      <c r="E962" s="4" t="s">
        <v>16</v>
      </c>
      <c r="F962" s="4">
        <v>53</v>
      </c>
      <c r="G962" s="4" t="str" cm="1">
        <f t="array" ref="G962">_xlfn.IFS(F962&lt;30,"Young Adult",F962&lt;50,"Adult",F962&gt;=50,"Senior")</f>
        <v>Senior</v>
      </c>
      <c r="H962" s="4" t="s">
        <v>17</v>
      </c>
      <c r="I962" s="4">
        <v>4</v>
      </c>
      <c r="J962" s="11">
        <v>50</v>
      </c>
      <c r="K962" s="13">
        <f>I962*J962</f>
        <v>200</v>
      </c>
      <c r="L962" s="19">
        <f t="shared" si="43"/>
        <v>3</v>
      </c>
      <c r="M962" s="19">
        <f t="shared" si="44"/>
        <v>4</v>
      </c>
      <c r="N962" s="13" cm="1">
        <f t="array" ref="N962">_xlfn.IFS(C962=2023,K962*$P$2,C962=2024,K962*$P$3)</f>
        <v>3</v>
      </c>
    </row>
    <row r="963" spans="1:14">
      <c r="A963" s="2">
        <v>962</v>
      </c>
      <c r="B963" s="3">
        <v>45218</v>
      </c>
      <c r="C963" s="4">
        <f t="shared" ref="C963:C1002" si="45">YEAR(B963)</f>
        <v>2023</v>
      </c>
      <c r="D963" s="4" t="s">
        <v>1009</v>
      </c>
      <c r="E963" s="4" t="s">
        <v>16</v>
      </c>
      <c r="F963" s="4">
        <v>44</v>
      </c>
      <c r="G963" s="4" t="str" cm="1">
        <f t="array" ref="G963">_xlfn.IFS(F963&lt;30,"Young Adult",F963&lt;50,"Adult",F963&gt;=50,"Senior")</f>
        <v>Adult</v>
      </c>
      <c r="H963" s="4" t="s">
        <v>21</v>
      </c>
      <c r="I963" s="4">
        <v>2</v>
      </c>
      <c r="J963" s="11">
        <v>30</v>
      </c>
      <c r="K963" s="13">
        <f>I963*J963</f>
        <v>60</v>
      </c>
      <c r="L963" s="19">
        <f t="shared" ref="L963:L1001" si="46">K963*$P$2</f>
        <v>0.89999999999999991</v>
      </c>
      <c r="M963" s="19">
        <f t="shared" ref="M963:M1001" si="47">K963*$P$3</f>
        <v>1.2</v>
      </c>
      <c r="N963" s="13" cm="1">
        <f t="array" ref="N963">_xlfn.IFS(C963=2023,K963*$P$2,C963=2024,K963*$P$3)</f>
        <v>0.89999999999999991</v>
      </c>
    </row>
    <row r="964" spans="1:14">
      <c r="A964" s="2">
        <v>963</v>
      </c>
      <c r="B964" s="3">
        <v>45244</v>
      </c>
      <c r="C964" s="4">
        <f t="shared" si="45"/>
        <v>2023</v>
      </c>
      <c r="D964" s="4" t="s">
        <v>1010</v>
      </c>
      <c r="E964" s="4" t="s">
        <v>20</v>
      </c>
      <c r="F964" s="4">
        <v>55</v>
      </c>
      <c r="G964" s="4" t="str" cm="1">
        <f t="array" ref="G964">_xlfn.IFS(F964&lt;30,"Young Adult",F964&lt;50,"Adult",F964&gt;=50,"Senior")</f>
        <v>Senior</v>
      </c>
      <c r="H964" s="4" t="s">
        <v>17</v>
      </c>
      <c r="I964" s="4">
        <v>1</v>
      </c>
      <c r="J964" s="11">
        <v>50</v>
      </c>
      <c r="K964" s="13">
        <f>I964*J964</f>
        <v>50</v>
      </c>
      <c r="L964" s="19">
        <f t="shared" si="46"/>
        <v>0.75</v>
      </c>
      <c r="M964" s="19">
        <f t="shared" si="47"/>
        <v>1</v>
      </c>
      <c r="N964" s="13" cm="1">
        <f t="array" ref="N964">_xlfn.IFS(C964=2023,K964*$P$2,C964=2024,K964*$P$3)</f>
        <v>0.75</v>
      </c>
    </row>
    <row r="965" spans="1:14">
      <c r="A965" s="2">
        <v>964</v>
      </c>
      <c r="B965" s="3">
        <v>44957</v>
      </c>
      <c r="C965" s="4">
        <f t="shared" si="45"/>
        <v>2023</v>
      </c>
      <c r="D965" s="4" t="s">
        <v>1011</v>
      </c>
      <c r="E965" s="4" t="s">
        <v>16</v>
      </c>
      <c r="F965" s="4">
        <v>24</v>
      </c>
      <c r="G965" s="4" t="str" cm="1">
        <f t="array" ref="G965">_xlfn.IFS(F965&lt;30,"Young Adult",F965&lt;50,"Adult",F965&gt;=50,"Senior")</f>
        <v>Young Adult</v>
      </c>
      <c r="H965" s="4" t="s">
        <v>21</v>
      </c>
      <c r="I965" s="4">
        <v>3</v>
      </c>
      <c r="J965" s="11">
        <v>300</v>
      </c>
      <c r="K965" s="13">
        <f>I965*J965</f>
        <v>900</v>
      </c>
      <c r="L965" s="19">
        <f t="shared" si="46"/>
        <v>13.5</v>
      </c>
      <c r="M965" s="19">
        <f t="shared" si="47"/>
        <v>18</v>
      </c>
      <c r="N965" s="13" cm="1">
        <f t="array" ref="N965">_xlfn.IFS(C965=2023,K965*$P$2,C965=2024,K965*$P$3)</f>
        <v>13.5</v>
      </c>
    </row>
    <row r="966" spans="1:14">
      <c r="A966" s="2">
        <v>965</v>
      </c>
      <c r="B966" s="3">
        <v>45239</v>
      </c>
      <c r="C966" s="4">
        <f t="shared" si="45"/>
        <v>2023</v>
      </c>
      <c r="D966" s="4" t="s">
        <v>1012</v>
      </c>
      <c r="E966" s="4" t="s">
        <v>16</v>
      </c>
      <c r="F966" s="4">
        <v>22</v>
      </c>
      <c r="G966" s="4" t="str" cm="1">
        <f t="array" ref="G966">_xlfn.IFS(F966&lt;30,"Young Adult",F966&lt;50,"Adult",F966&gt;=50,"Senior")</f>
        <v>Young Adult</v>
      </c>
      <c r="H966" s="4" t="s">
        <v>21</v>
      </c>
      <c r="I966" s="4">
        <v>4</v>
      </c>
      <c r="J966" s="11">
        <v>50</v>
      </c>
      <c r="K966" s="13">
        <f>I966*J966</f>
        <v>200</v>
      </c>
      <c r="L966" s="19">
        <f t="shared" si="46"/>
        <v>3</v>
      </c>
      <c r="M966" s="19">
        <f t="shared" si="47"/>
        <v>4</v>
      </c>
      <c r="N966" s="13" cm="1">
        <f t="array" ref="N966">_xlfn.IFS(C966=2023,K966*$P$2,C966=2024,K966*$P$3)</f>
        <v>3</v>
      </c>
    </row>
    <row r="967" spans="1:14">
      <c r="A967" s="2">
        <v>966</v>
      </c>
      <c r="B967" s="3">
        <v>44977</v>
      </c>
      <c r="C967" s="4">
        <f t="shared" si="45"/>
        <v>2023</v>
      </c>
      <c r="D967" s="4" t="s">
        <v>1013</v>
      </c>
      <c r="E967" s="4" t="s">
        <v>16</v>
      </c>
      <c r="F967" s="4">
        <v>60</v>
      </c>
      <c r="G967" s="4" t="str" cm="1">
        <f t="array" ref="G967">_xlfn.IFS(F967&lt;30,"Young Adult",F967&lt;50,"Adult",F967&gt;=50,"Senior")</f>
        <v>Senior</v>
      </c>
      <c r="H967" s="4" t="s">
        <v>24</v>
      </c>
      <c r="I967" s="4">
        <v>2</v>
      </c>
      <c r="J967" s="11">
        <v>500</v>
      </c>
      <c r="K967" s="13">
        <f>I967*J967</f>
        <v>1000</v>
      </c>
      <c r="L967" s="19">
        <f t="shared" si="46"/>
        <v>15</v>
      </c>
      <c r="M967" s="19">
        <f t="shared" si="47"/>
        <v>20</v>
      </c>
      <c r="N967" s="13" cm="1">
        <f t="array" ref="N967">_xlfn.IFS(C967=2023,K967*$P$2,C967=2024,K967*$P$3)</f>
        <v>15</v>
      </c>
    </row>
    <row r="968" spans="1:14">
      <c r="A968" s="2">
        <v>967</v>
      </c>
      <c r="B968" s="3">
        <v>45033</v>
      </c>
      <c r="C968" s="4">
        <f t="shared" si="45"/>
        <v>2023</v>
      </c>
      <c r="D968" s="4" t="s">
        <v>1014</v>
      </c>
      <c r="E968" s="4" t="s">
        <v>16</v>
      </c>
      <c r="F968" s="4">
        <v>62</v>
      </c>
      <c r="G968" s="4" t="str" cm="1">
        <f t="array" ref="G968">_xlfn.IFS(F968&lt;30,"Young Adult",F968&lt;50,"Adult",F968&gt;=50,"Senior")</f>
        <v>Senior</v>
      </c>
      <c r="H968" s="4" t="s">
        <v>17</v>
      </c>
      <c r="I968" s="4">
        <v>1</v>
      </c>
      <c r="J968" s="11">
        <v>25</v>
      </c>
      <c r="K968" s="13">
        <f>I968*J968</f>
        <v>25</v>
      </c>
      <c r="L968" s="19">
        <f t="shared" si="46"/>
        <v>0.375</v>
      </c>
      <c r="M968" s="19">
        <f t="shared" si="47"/>
        <v>0.5</v>
      </c>
      <c r="N968" s="13" cm="1">
        <f t="array" ref="N968">_xlfn.IFS(C968=2023,K968*$P$2,C968=2024,K968*$P$3)</f>
        <v>0.375</v>
      </c>
    </row>
    <row r="969" spans="1:14">
      <c r="A969" s="2">
        <v>968</v>
      </c>
      <c r="B969" s="3">
        <v>45247</v>
      </c>
      <c r="C969" s="4">
        <f t="shared" si="45"/>
        <v>2023</v>
      </c>
      <c r="D969" s="4" t="s">
        <v>1015</v>
      </c>
      <c r="E969" s="4" t="s">
        <v>20</v>
      </c>
      <c r="F969" s="4">
        <v>48</v>
      </c>
      <c r="G969" s="4" t="str" cm="1">
        <f t="array" ref="G969">_xlfn.IFS(F969&lt;30,"Young Adult",F969&lt;50,"Adult",F969&gt;=50,"Senior")</f>
        <v>Adult</v>
      </c>
      <c r="H969" s="4" t="s">
        <v>21</v>
      </c>
      <c r="I969" s="4">
        <v>3</v>
      </c>
      <c r="J969" s="11">
        <v>300</v>
      </c>
      <c r="K969" s="13">
        <f>I969*J969</f>
        <v>900</v>
      </c>
      <c r="L969" s="19">
        <f t="shared" si="46"/>
        <v>13.5</v>
      </c>
      <c r="M969" s="19">
        <f t="shared" si="47"/>
        <v>18</v>
      </c>
      <c r="N969" s="13" cm="1">
        <f t="array" ref="N969">_xlfn.IFS(C969=2023,K969*$P$2,C969=2024,K969*$P$3)</f>
        <v>13.5</v>
      </c>
    </row>
    <row r="970" spans="1:14">
      <c r="A970" s="2">
        <v>969</v>
      </c>
      <c r="B970" s="3">
        <v>45035</v>
      </c>
      <c r="C970" s="4">
        <f t="shared" si="45"/>
        <v>2023</v>
      </c>
      <c r="D970" s="4" t="s">
        <v>1016</v>
      </c>
      <c r="E970" s="4" t="s">
        <v>20</v>
      </c>
      <c r="F970" s="4">
        <v>40</v>
      </c>
      <c r="G970" s="4" t="str" cm="1">
        <f t="array" ref="G970">_xlfn.IFS(F970&lt;30,"Young Adult",F970&lt;50,"Adult",F970&gt;=50,"Senior")</f>
        <v>Adult</v>
      </c>
      <c r="H970" s="4" t="s">
        <v>21</v>
      </c>
      <c r="I970" s="4">
        <v>3</v>
      </c>
      <c r="J970" s="11">
        <v>300</v>
      </c>
      <c r="K970" s="13">
        <f>I970*J970</f>
        <v>900</v>
      </c>
      <c r="L970" s="19">
        <f t="shared" si="46"/>
        <v>13.5</v>
      </c>
      <c r="M970" s="19">
        <f t="shared" si="47"/>
        <v>18</v>
      </c>
      <c r="N970" s="13" cm="1">
        <f t="array" ref="N970">_xlfn.IFS(C970=2023,K970*$P$2,C970=2024,K970*$P$3)</f>
        <v>13.5</v>
      </c>
    </row>
    <row r="971" spans="1:14">
      <c r="A971" s="2">
        <v>970</v>
      </c>
      <c r="B971" s="3">
        <v>45062</v>
      </c>
      <c r="C971" s="4">
        <f t="shared" si="45"/>
        <v>2023</v>
      </c>
      <c r="D971" s="4" t="s">
        <v>1017</v>
      </c>
      <c r="E971" s="4" t="s">
        <v>16</v>
      </c>
      <c r="F971" s="4">
        <v>59</v>
      </c>
      <c r="G971" s="4" t="str" cm="1">
        <f t="array" ref="G971">_xlfn.IFS(F971&lt;30,"Young Adult",F971&lt;50,"Adult",F971&gt;=50,"Senior")</f>
        <v>Senior</v>
      </c>
      <c r="H971" s="4" t="s">
        <v>24</v>
      </c>
      <c r="I971" s="4">
        <v>4</v>
      </c>
      <c r="J971" s="11">
        <v>500</v>
      </c>
      <c r="K971" s="13">
        <f>I971*J971</f>
        <v>2000</v>
      </c>
      <c r="L971" s="19">
        <f t="shared" si="46"/>
        <v>30</v>
      </c>
      <c r="M971" s="19">
        <f t="shared" si="47"/>
        <v>40</v>
      </c>
      <c r="N971" s="13" cm="1">
        <f t="array" ref="N971">_xlfn.IFS(C971=2023,K971*$P$2,C971=2024,K971*$P$3)</f>
        <v>30</v>
      </c>
    </row>
    <row r="972" spans="1:14">
      <c r="A972" s="2">
        <v>971</v>
      </c>
      <c r="B972" s="3">
        <v>45265</v>
      </c>
      <c r="C972" s="4">
        <f t="shared" si="45"/>
        <v>2023</v>
      </c>
      <c r="D972" s="4" t="s">
        <v>1018</v>
      </c>
      <c r="E972" s="4" t="s">
        <v>20</v>
      </c>
      <c r="F972" s="4">
        <v>27</v>
      </c>
      <c r="G972" s="4" t="str" cm="1">
        <f t="array" ref="G972">_xlfn.IFS(F972&lt;30,"Young Adult",F972&lt;50,"Adult",F972&gt;=50,"Senior")</f>
        <v>Young Adult</v>
      </c>
      <c r="H972" s="4" t="s">
        <v>24</v>
      </c>
      <c r="I972" s="4">
        <v>4</v>
      </c>
      <c r="J972" s="11">
        <v>50</v>
      </c>
      <c r="K972" s="13">
        <f>I972*J972</f>
        <v>200</v>
      </c>
      <c r="L972" s="19">
        <f t="shared" si="46"/>
        <v>3</v>
      </c>
      <c r="M972" s="19">
        <f t="shared" si="47"/>
        <v>4</v>
      </c>
      <c r="N972" s="13" cm="1">
        <f t="array" ref="N972">_xlfn.IFS(C972=2023,K972*$P$2,C972=2024,K972*$P$3)</f>
        <v>3</v>
      </c>
    </row>
    <row r="973" spans="1:14">
      <c r="A973" s="2">
        <v>972</v>
      </c>
      <c r="B973" s="3">
        <v>44968</v>
      </c>
      <c r="C973" s="4">
        <f t="shared" si="45"/>
        <v>2023</v>
      </c>
      <c r="D973" s="4" t="s">
        <v>1019</v>
      </c>
      <c r="E973" s="4" t="s">
        <v>16</v>
      </c>
      <c r="F973" s="4">
        <v>49</v>
      </c>
      <c r="G973" s="4" t="str" cm="1">
        <f t="array" ref="G973">_xlfn.IFS(F973&lt;30,"Young Adult",F973&lt;50,"Adult",F973&gt;=50,"Senior")</f>
        <v>Adult</v>
      </c>
      <c r="H973" s="4" t="s">
        <v>17</v>
      </c>
      <c r="I973" s="4">
        <v>4</v>
      </c>
      <c r="J973" s="11">
        <v>25</v>
      </c>
      <c r="K973" s="13">
        <f>I973*J973</f>
        <v>100</v>
      </c>
      <c r="L973" s="19">
        <f t="shared" si="46"/>
        <v>1.5</v>
      </c>
      <c r="M973" s="19">
        <f t="shared" si="47"/>
        <v>2</v>
      </c>
      <c r="N973" s="13" cm="1">
        <f t="array" ref="N973">_xlfn.IFS(C973=2023,K973*$P$2,C973=2024,K973*$P$3)</f>
        <v>1.5</v>
      </c>
    </row>
    <row r="974" spans="1:14">
      <c r="A974" s="2">
        <v>973</v>
      </c>
      <c r="B974" s="3">
        <v>45007</v>
      </c>
      <c r="C974" s="4">
        <f t="shared" si="45"/>
        <v>2023</v>
      </c>
      <c r="D974" s="4" t="s">
        <v>1020</v>
      </c>
      <c r="E974" s="4" t="s">
        <v>16</v>
      </c>
      <c r="F974" s="4">
        <v>60</v>
      </c>
      <c r="G974" s="4" t="str" cm="1">
        <f t="array" ref="G974">_xlfn.IFS(F974&lt;30,"Young Adult",F974&lt;50,"Adult",F974&gt;=50,"Senior")</f>
        <v>Senior</v>
      </c>
      <c r="H974" s="4" t="s">
        <v>21</v>
      </c>
      <c r="I974" s="4">
        <v>1</v>
      </c>
      <c r="J974" s="11">
        <v>50</v>
      </c>
      <c r="K974" s="13">
        <f>I974*J974</f>
        <v>50</v>
      </c>
      <c r="L974" s="19">
        <f t="shared" si="46"/>
        <v>0.75</v>
      </c>
      <c r="M974" s="19">
        <f t="shared" si="47"/>
        <v>1</v>
      </c>
      <c r="N974" s="13" cm="1">
        <f t="array" ref="N974">_xlfn.IFS(C974=2023,K974*$P$2,C974=2024,K974*$P$3)</f>
        <v>0.75</v>
      </c>
    </row>
    <row r="975" spans="1:14">
      <c r="A975" s="2">
        <v>974</v>
      </c>
      <c r="B975" s="3">
        <v>45049</v>
      </c>
      <c r="C975" s="4">
        <f t="shared" si="45"/>
        <v>2023</v>
      </c>
      <c r="D975" s="4" t="s">
        <v>1021</v>
      </c>
      <c r="E975" s="4" t="s">
        <v>16</v>
      </c>
      <c r="F975" s="4">
        <v>47</v>
      </c>
      <c r="G975" s="4" t="str" cm="1">
        <f t="array" ref="G975">_xlfn.IFS(F975&lt;30,"Young Adult",F975&lt;50,"Adult",F975&gt;=50,"Senior")</f>
        <v>Adult</v>
      </c>
      <c r="H975" s="4" t="s">
        <v>17</v>
      </c>
      <c r="I975" s="4">
        <v>1</v>
      </c>
      <c r="J975" s="11">
        <v>30</v>
      </c>
      <c r="K975" s="13">
        <f>I975*J975</f>
        <v>30</v>
      </c>
      <c r="L975" s="19">
        <f t="shared" si="46"/>
        <v>0.44999999999999996</v>
      </c>
      <c r="M975" s="19">
        <f t="shared" si="47"/>
        <v>0.6</v>
      </c>
      <c r="N975" s="13" cm="1">
        <f t="array" ref="N975">_xlfn.IFS(C975=2023,K975*$P$2,C975=2024,K975*$P$3)</f>
        <v>0.44999999999999996</v>
      </c>
    </row>
    <row r="976" spans="1:14">
      <c r="A976" s="2">
        <v>975</v>
      </c>
      <c r="B976" s="3">
        <v>45015</v>
      </c>
      <c r="C976" s="4">
        <f t="shared" si="45"/>
        <v>2023</v>
      </c>
      <c r="D976" s="4" t="s">
        <v>1022</v>
      </c>
      <c r="E976" s="4" t="s">
        <v>20</v>
      </c>
      <c r="F976" s="4">
        <v>56</v>
      </c>
      <c r="G976" s="4" t="str" cm="1">
        <f t="array" ref="G976">_xlfn.IFS(F976&lt;30,"Young Adult",F976&lt;50,"Adult",F976&gt;=50,"Senior")</f>
        <v>Senior</v>
      </c>
      <c r="H976" s="4" t="s">
        <v>21</v>
      </c>
      <c r="I976" s="4">
        <v>4</v>
      </c>
      <c r="J976" s="11">
        <v>50</v>
      </c>
      <c r="K976" s="13">
        <f>I976*J976</f>
        <v>200</v>
      </c>
      <c r="L976" s="19">
        <f t="shared" si="46"/>
        <v>3</v>
      </c>
      <c r="M976" s="19">
        <f t="shared" si="47"/>
        <v>4</v>
      </c>
      <c r="N976" s="13" cm="1">
        <f t="array" ref="N976">_xlfn.IFS(C976=2023,K976*$P$2,C976=2024,K976*$P$3)</f>
        <v>3</v>
      </c>
    </row>
    <row r="977" spans="1:14">
      <c r="A977" s="2">
        <v>976</v>
      </c>
      <c r="B977" s="3">
        <v>45209</v>
      </c>
      <c r="C977" s="4">
        <f t="shared" si="45"/>
        <v>2023</v>
      </c>
      <c r="D977" s="4" t="s">
        <v>1023</v>
      </c>
      <c r="E977" s="4" t="s">
        <v>20</v>
      </c>
      <c r="F977" s="4">
        <v>48</v>
      </c>
      <c r="G977" s="4" t="str" cm="1">
        <f t="array" ref="G977">_xlfn.IFS(F977&lt;30,"Young Adult",F977&lt;50,"Adult",F977&gt;=50,"Senior")</f>
        <v>Adult</v>
      </c>
      <c r="H977" s="4" t="s">
        <v>17</v>
      </c>
      <c r="I977" s="4">
        <v>2</v>
      </c>
      <c r="J977" s="11">
        <v>300</v>
      </c>
      <c r="K977" s="13">
        <f>I977*J977</f>
        <v>600</v>
      </c>
      <c r="L977" s="19">
        <f t="shared" si="46"/>
        <v>9</v>
      </c>
      <c r="M977" s="19">
        <f t="shared" si="47"/>
        <v>12</v>
      </c>
      <c r="N977" s="13" cm="1">
        <f t="array" ref="N977">_xlfn.IFS(C977=2023,K977*$P$2,C977=2024,K977*$P$3)</f>
        <v>9</v>
      </c>
    </row>
    <row r="978" spans="1:14">
      <c r="A978" s="2">
        <v>977</v>
      </c>
      <c r="B978" s="3">
        <v>44965</v>
      </c>
      <c r="C978" s="4">
        <f t="shared" si="45"/>
        <v>2023</v>
      </c>
      <c r="D978" s="4" t="s">
        <v>1024</v>
      </c>
      <c r="E978" s="4" t="s">
        <v>20</v>
      </c>
      <c r="F978" s="4">
        <v>35</v>
      </c>
      <c r="G978" s="4" t="str" cm="1">
        <f t="array" ref="G978">_xlfn.IFS(F978&lt;30,"Young Adult",F978&lt;50,"Adult",F978&gt;=50,"Senior")</f>
        <v>Adult</v>
      </c>
      <c r="H978" s="4" t="s">
        <v>24</v>
      </c>
      <c r="I978" s="4">
        <v>3</v>
      </c>
      <c r="J978" s="11">
        <v>25</v>
      </c>
      <c r="K978" s="13">
        <f>I978*J978</f>
        <v>75</v>
      </c>
      <c r="L978" s="19">
        <f t="shared" si="46"/>
        <v>1.125</v>
      </c>
      <c r="M978" s="19">
        <f t="shared" si="47"/>
        <v>1.5</v>
      </c>
      <c r="N978" s="13" cm="1">
        <f t="array" ref="N978">_xlfn.IFS(C978=2023,K978*$P$2,C978=2024,K978*$P$3)</f>
        <v>1.125</v>
      </c>
    </row>
    <row r="979" spans="1:14">
      <c r="A979" s="2">
        <v>978</v>
      </c>
      <c r="B979" s="3">
        <v>45007</v>
      </c>
      <c r="C979" s="4">
        <f t="shared" si="45"/>
        <v>2023</v>
      </c>
      <c r="D979" s="4" t="s">
        <v>1025</v>
      </c>
      <c r="E979" s="4" t="s">
        <v>20</v>
      </c>
      <c r="F979" s="4">
        <v>53</v>
      </c>
      <c r="G979" s="4" t="str" cm="1">
        <f t="array" ref="G979">_xlfn.IFS(F979&lt;30,"Young Adult",F979&lt;50,"Adult",F979&gt;=50,"Senior")</f>
        <v>Senior</v>
      </c>
      <c r="H979" s="4" t="s">
        <v>21</v>
      </c>
      <c r="I979" s="4">
        <v>3</v>
      </c>
      <c r="J979" s="11">
        <v>50</v>
      </c>
      <c r="K979" s="13">
        <f>I979*J979</f>
        <v>150</v>
      </c>
      <c r="L979" s="19">
        <f t="shared" si="46"/>
        <v>2.25</v>
      </c>
      <c r="M979" s="19">
        <f t="shared" si="47"/>
        <v>3</v>
      </c>
      <c r="N979" s="13" cm="1">
        <f t="array" ref="N979">_xlfn.IFS(C979=2023,K979*$P$2,C979=2024,K979*$P$3)</f>
        <v>2.25</v>
      </c>
    </row>
    <row r="980" spans="1:14">
      <c r="A980" s="2">
        <v>979</v>
      </c>
      <c r="B980" s="3">
        <v>44928</v>
      </c>
      <c r="C980" s="4">
        <f t="shared" si="45"/>
        <v>2023</v>
      </c>
      <c r="D980" s="4" t="s">
        <v>1026</v>
      </c>
      <c r="E980" s="4" t="s">
        <v>20</v>
      </c>
      <c r="F980" s="4">
        <v>19</v>
      </c>
      <c r="G980" s="4" t="str" cm="1">
        <f t="array" ref="G980">_xlfn.IFS(F980&lt;30,"Young Adult",F980&lt;50,"Adult",F980&gt;=50,"Senior")</f>
        <v>Young Adult</v>
      </c>
      <c r="H980" s="4" t="s">
        <v>17</v>
      </c>
      <c r="I980" s="4">
        <v>1</v>
      </c>
      <c r="J980" s="11">
        <v>25</v>
      </c>
      <c r="K980" s="13">
        <f>I980*J980</f>
        <v>25</v>
      </c>
      <c r="L980" s="19">
        <f t="shared" si="46"/>
        <v>0.375</v>
      </c>
      <c r="M980" s="19">
        <f t="shared" si="47"/>
        <v>0.5</v>
      </c>
      <c r="N980" s="13" cm="1">
        <f t="array" ref="N980">_xlfn.IFS(C980=2023,K980*$P$2,C980=2024,K980*$P$3)</f>
        <v>0.375</v>
      </c>
    </row>
    <row r="981" spans="1:14">
      <c r="A981" s="2">
        <v>980</v>
      </c>
      <c r="B981" s="3">
        <v>45136</v>
      </c>
      <c r="C981" s="4">
        <f t="shared" si="45"/>
        <v>2023</v>
      </c>
      <c r="D981" s="4" t="s">
        <v>1027</v>
      </c>
      <c r="E981" s="4" t="s">
        <v>20</v>
      </c>
      <c r="F981" s="4">
        <v>31</v>
      </c>
      <c r="G981" s="4" t="str" cm="1">
        <f t="array" ref="G981">_xlfn.IFS(F981&lt;30,"Young Adult",F981&lt;50,"Adult",F981&gt;=50,"Senior")</f>
        <v>Adult</v>
      </c>
      <c r="H981" s="4" t="s">
        <v>24</v>
      </c>
      <c r="I981" s="4">
        <v>3</v>
      </c>
      <c r="J981" s="11">
        <v>25</v>
      </c>
      <c r="K981" s="13">
        <f>I981*J981</f>
        <v>75</v>
      </c>
      <c r="L981" s="19">
        <f t="shared" si="46"/>
        <v>1.125</v>
      </c>
      <c r="M981" s="19">
        <f t="shared" si="47"/>
        <v>1.5</v>
      </c>
      <c r="N981" s="13" cm="1">
        <f t="array" ref="N981">_xlfn.IFS(C981=2023,K981*$P$2,C981=2024,K981*$P$3)</f>
        <v>1.125</v>
      </c>
    </row>
    <row r="982" spans="1:14">
      <c r="A982" s="2">
        <v>981</v>
      </c>
      <c r="B982" s="3">
        <v>45157</v>
      </c>
      <c r="C982" s="4">
        <f t="shared" si="45"/>
        <v>2023</v>
      </c>
      <c r="D982" s="4" t="s">
        <v>1028</v>
      </c>
      <c r="E982" s="4" t="s">
        <v>20</v>
      </c>
      <c r="F982" s="4">
        <v>30</v>
      </c>
      <c r="G982" s="4" t="str" cm="1">
        <f t="array" ref="G982">_xlfn.IFS(F982&lt;30,"Young Adult",F982&lt;50,"Adult",F982&gt;=50,"Senior")</f>
        <v>Adult</v>
      </c>
      <c r="H982" s="4" t="s">
        <v>24</v>
      </c>
      <c r="I982" s="4">
        <v>2</v>
      </c>
      <c r="J982" s="11">
        <v>30</v>
      </c>
      <c r="K982" s="13">
        <f>I982*J982</f>
        <v>60</v>
      </c>
      <c r="L982" s="19">
        <f t="shared" si="46"/>
        <v>0.89999999999999991</v>
      </c>
      <c r="M982" s="19">
        <f t="shared" si="47"/>
        <v>1.2</v>
      </c>
      <c r="N982" s="13" cm="1">
        <f t="array" ref="N982">_xlfn.IFS(C982=2023,K982*$P$2,C982=2024,K982*$P$3)</f>
        <v>0.89999999999999991</v>
      </c>
    </row>
    <row r="983" spans="1:14">
      <c r="A983" s="2">
        <v>982</v>
      </c>
      <c r="B983" s="3">
        <v>45279</v>
      </c>
      <c r="C983" s="4">
        <f t="shared" si="45"/>
        <v>2023</v>
      </c>
      <c r="D983" s="4" t="s">
        <v>1029</v>
      </c>
      <c r="E983" s="4" t="s">
        <v>20</v>
      </c>
      <c r="F983" s="4">
        <v>46</v>
      </c>
      <c r="G983" s="4" t="str" cm="1">
        <f t="array" ref="G983">_xlfn.IFS(F983&lt;30,"Young Adult",F983&lt;50,"Adult",F983&gt;=50,"Senior")</f>
        <v>Adult</v>
      </c>
      <c r="H983" s="4" t="s">
        <v>17</v>
      </c>
      <c r="I983" s="4">
        <v>3</v>
      </c>
      <c r="J983" s="11">
        <v>30</v>
      </c>
      <c r="K983" s="13">
        <f>I983*J983</f>
        <v>90</v>
      </c>
      <c r="L983" s="19">
        <f t="shared" si="46"/>
        <v>1.3499999999999999</v>
      </c>
      <c r="M983" s="19">
        <f t="shared" si="47"/>
        <v>1.8</v>
      </c>
      <c r="N983" s="13" cm="1">
        <f t="array" ref="N983">_xlfn.IFS(C983=2023,K983*$P$2,C983=2024,K983*$P$3)</f>
        <v>1.3499999999999999</v>
      </c>
    </row>
    <row r="984" spans="1:14">
      <c r="A984" s="2">
        <v>983</v>
      </c>
      <c r="B984" s="3">
        <v>45231</v>
      </c>
      <c r="C984" s="4">
        <f t="shared" si="45"/>
        <v>2023</v>
      </c>
      <c r="D984" s="4" t="s">
        <v>1030</v>
      </c>
      <c r="E984" s="4" t="s">
        <v>20</v>
      </c>
      <c r="F984" s="4">
        <v>29</v>
      </c>
      <c r="G984" s="4" t="str" cm="1">
        <f t="array" ref="G984">_xlfn.IFS(F984&lt;30,"Young Adult",F984&lt;50,"Adult",F984&gt;=50,"Senior")</f>
        <v>Young Adult</v>
      </c>
      <c r="H984" s="4" t="s">
        <v>21</v>
      </c>
      <c r="I984" s="4">
        <v>1</v>
      </c>
      <c r="J984" s="11">
        <v>300</v>
      </c>
      <c r="K984" s="13">
        <f>I984*J984</f>
        <v>300</v>
      </c>
      <c r="L984" s="19">
        <f t="shared" si="46"/>
        <v>4.5</v>
      </c>
      <c r="M984" s="19">
        <f t="shared" si="47"/>
        <v>6</v>
      </c>
      <c r="N984" s="13" cm="1">
        <f t="array" ref="N984">_xlfn.IFS(C984=2023,K984*$P$2,C984=2024,K984*$P$3)</f>
        <v>4.5</v>
      </c>
    </row>
    <row r="985" spans="1:14">
      <c r="A985" s="2">
        <v>984</v>
      </c>
      <c r="B985" s="3">
        <v>45167</v>
      </c>
      <c r="C985" s="4">
        <f t="shared" si="45"/>
        <v>2023</v>
      </c>
      <c r="D985" s="4" t="s">
        <v>1031</v>
      </c>
      <c r="E985" s="4" t="s">
        <v>16</v>
      </c>
      <c r="F985" s="4">
        <v>56</v>
      </c>
      <c r="G985" s="4" t="str" cm="1">
        <f t="array" ref="G985">_xlfn.IFS(F985&lt;30,"Young Adult",F985&lt;50,"Adult",F985&gt;=50,"Senior")</f>
        <v>Senior</v>
      </c>
      <c r="H985" s="4" t="s">
        <v>21</v>
      </c>
      <c r="I985" s="4">
        <v>1</v>
      </c>
      <c r="J985" s="11">
        <v>500</v>
      </c>
      <c r="K985" s="13">
        <f>I985*J985</f>
        <v>500</v>
      </c>
      <c r="L985" s="19">
        <f t="shared" si="46"/>
        <v>7.5</v>
      </c>
      <c r="M985" s="19">
        <f t="shared" si="47"/>
        <v>10</v>
      </c>
      <c r="N985" s="13" cm="1">
        <f t="array" ref="N985">_xlfn.IFS(C985=2023,K985*$P$2,C985=2024,K985*$P$3)</f>
        <v>7.5</v>
      </c>
    </row>
    <row r="986" spans="1:14">
      <c r="A986" s="2">
        <v>985</v>
      </c>
      <c r="B986" s="3">
        <v>45076</v>
      </c>
      <c r="C986" s="4">
        <f t="shared" si="45"/>
        <v>2023</v>
      </c>
      <c r="D986" s="4" t="s">
        <v>1032</v>
      </c>
      <c r="E986" s="4" t="s">
        <v>20</v>
      </c>
      <c r="F986" s="4">
        <v>19</v>
      </c>
      <c r="G986" s="4" t="str" cm="1">
        <f t="array" ref="G986">_xlfn.IFS(F986&lt;30,"Young Adult",F986&lt;50,"Adult",F986&gt;=50,"Senior")</f>
        <v>Young Adult</v>
      </c>
      <c r="H986" s="4" t="s">
        <v>24</v>
      </c>
      <c r="I986" s="4">
        <v>2</v>
      </c>
      <c r="J986" s="11">
        <v>25</v>
      </c>
      <c r="K986" s="13">
        <f>I986*J986</f>
        <v>50</v>
      </c>
      <c r="L986" s="19">
        <f t="shared" si="46"/>
        <v>0.75</v>
      </c>
      <c r="M986" s="19">
        <f t="shared" si="47"/>
        <v>1</v>
      </c>
      <c r="N986" s="13" cm="1">
        <f t="array" ref="N986">_xlfn.IFS(C986=2023,K986*$P$2,C986=2024,K986*$P$3)</f>
        <v>0.75</v>
      </c>
    </row>
    <row r="987" spans="1:14">
      <c r="A987" s="2">
        <v>986</v>
      </c>
      <c r="B987" s="3">
        <v>44943</v>
      </c>
      <c r="C987" s="4">
        <f t="shared" si="45"/>
        <v>2023</v>
      </c>
      <c r="D987" s="4" t="s">
        <v>1033</v>
      </c>
      <c r="E987" s="4" t="s">
        <v>20</v>
      </c>
      <c r="F987" s="4">
        <v>49</v>
      </c>
      <c r="G987" s="4" t="str" cm="1">
        <f t="array" ref="G987">_xlfn.IFS(F987&lt;30,"Young Adult",F987&lt;50,"Adult",F987&gt;=50,"Senior")</f>
        <v>Adult</v>
      </c>
      <c r="H987" s="4" t="s">
        <v>21</v>
      </c>
      <c r="I987" s="4">
        <v>2</v>
      </c>
      <c r="J987" s="11">
        <v>500</v>
      </c>
      <c r="K987" s="13">
        <f>I987*J987</f>
        <v>1000</v>
      </c>
      <c r="L987" s="19">
        <f t="shared" si="46"/>
        <v>15</v>
      </c>
      <c r="M987" s="19">
        <f t="shared" si="47"/>
        <v>20</v>
      </c>
      <c r="N987" s="13" cm="1">
        <f t="array" ref="N987">_xlfn.IFS(C987=2023,K987*$P$2,C987=2024,K987*$P$3)</f>
        <v>15</v>
      </c>
    </row>
    <row r="988" spans="1:14">
      <c r="A988" s="2">
        <v>987</v>
      </c>
      <c r="B988" s="3">
        <v>45045</v>
      </c>
      <c r="C988" s="4">
        <f t="shared" si="45"/>
        <v>2023</v>
      </c>
      <c r="D988" s="4" t="s">
        <v>1034</v>
      </c>
      <c r="E988" s="4" t="s">
        <v>20</v>
      </c>
      <c r="F988" s="4">
        <v>30</v>
      </c>
      <c r="G988" s="4" t="str" cm="1">
        <f t="array" ref="G988">_xlfn.IFS(F988&lt;30,"Young Adult",F988&lt;50,"Adult",F988&gt;=50,"Senior")</f>
        <v>Adult</v>
      </c>
      <c r="H988" s="4" t="s">
        <v>21</v>
      </c>
      <c r="I988" s="4">
        <v>3</v>
      </c>
      <c r="J988" s="11">
        <v>300</v>
      </c>
      <c r="K988" s="13">
        <f>I988*J988</f>
        <v>900</v>
      </c>
      <c r="L988" s="19">
        <f t="shared" si="46"/>
        <v>13.5</v>
      </c>
      <c r="M988" s="19">
        <f t="shared" si="47"/>
        <v>18</v>
      </c>
      <c r="N988" s="13" cm="1">
        <f t="array" ref="N988">_xlfn.IFS(C988=2023,K988*$P$2,C988=2024,K988*$P$3)</f>
        <v>13.5</v>
      </c>
    </row>
    <row r="989" spans="1:14">
      <c r="A989" s="2">
        <v>988</v>
      </c>
      <c r="B989" s="3">
        <v>45074</v>
      </c>
      <c r="C989" s="4">
        <f t="shared" si="45"/>
        <v>2023</v>
      </c>
      <c r="D989" s="4" t="s">
        <v>1035</v>
      </c>
      <c r="E989" s="4" t="s">
        <v>20</v>
      </c>
      <c r="F989" s="4">
        <v>63</v>
      </c>
      <c r="G989" s="4" t="str" cm="1">
        <f t="array" ref="G989">_xlfn.IFS(F989&lt;30,"Young Adult",F989&lt;50,"Adult",F989&gt;=50,"Senior")</f>
        <v>Senior</v>
      </c>
      <c r="H989" s="4" t="s">
        <v>21</v>
      </c>
      <c r="I989" s="4">
        <v>3</v>
      </c>
      <c r="J989" s="11">
        <v>25</v>
      </c>
      <c r="K989" s="13">
        <f>I989*J989</f>
        <v>75</v>
      </c>
      <c r="L989" s="19">
        <f t="shared" si="46"/>
        <v>1.125</v>
      </c>
      <c r="M989" s="19">
        <f t="shared" si="47"/>
        <v>1.5</v>
      </c>
      <c r="N989" s="13" cm="1">
        <f t="array" ref="N989">_xlfn.IFS(C989=2023,K989*$P$2,C989=2024,K989*$P$3)</f>
        <v>1.125</v>
      </c>
    </row>
    <row r="990" spans="1:14">
      <c r="A990" s="2">
        <v>989</v>
      </c>
      <c r="B990" s="3">
        <v>45288</v>
      </c>
      <c r="C990" s="4">
        <f t="shared" si="45"/>
        <v>2023</v>
      </c>
      <c r="D990" s="4" t="s">
        <v>1036</v>
      </c>
      <c r="E990" s="4" t="s">
        <v>20</v>
      </c>
      <c r="F990" s="4">
        <v>44</v>
      </c>
      <c r="G990" s="4" t="str" cm="1">
        <f t="array" ref="G990">_xlfn.IFS(F990&lt;30,"Young Adult",F990&lt;50,"Adult",F990&gt;=50,"Senior")</f>
        <v>Adult</v>
      </c>
      <c r="H990" s="4" t="s">
        <v>24</v>
      </c>
      <c r="I990" s="4">
        <v>1</v>
      </c>
      <c r="J990" s="11">
        <v>25</v>
      </c>
      <c r="K990" s="13">
        <f>I990*J990</f>
        <v>25</v>
      </c>
      <c r="L990" s="19">
        <f t="shared" si="46"/>
        <v>0.375</v>
      </c>
      <c r="M990" s="19">
        <f t="shared" si="47"/>
        <v>0.5</v>
      </c>
      <c r="N990" s="13" cm="1">
        <f t="array" ref="N990">_xlfn.IFS(C990=2023,K990*$P$2,C990=2024,K990*$P$3)</f>
        <v>0.375</v>
      </c>
    </row>
    <row r="991" spans="1:14">
      <c r="A991" s="2">
        <v>990</v>
      </c>
      <c r="B991" s="3">
        <v>45071</v>
      </c>
      <c r="C991" s="4">
        <f t="shared" si="45"/>
        <v>2023</v>
      </c>
      <c r="D991" s="4" t="s">
        <v>1037</v>
      </c>
      <c r="E991" s="4" t="s">
        <v>20</v>
      </c>
      <c r="F991" s="4">
        <v>58</v>
      </c>
      <c r="G991" s="4" t="str" cm="1">
        <f t="array" ref="G991">_xlfn.IFS(F991&lt;30,"Young Adult",F991&lt;50,"Adult",F991&gt;=50,"Senior")</f>
        <v>Senior</v>
      </c>
      <c r="H991" s="4" t="s">
        <v>17</v>
      </c>
      <c r="I991" s="4">
        <v>2</v>
      </c>
      <c r="J991" s="11">
        <v>500</v>
      </c>
      <c r="K991" s="13">
        <f>I991*J991</f>
        <v>1000</v>
      </c>
      <c r="L991" s="19">
        <f t="shared" si="46"/>
        <v>15</v>
      </c>
      <c r="M991" s="19">
        <f t="shared" si="47"/>
        <v>20</v>
      </c>
      <c r="N991" s="13" cm="1">
        <f t="array" ref="N991">_xlfn.IFS(C991=2023,K991*$P$2,C991=2024,K991*$P$3)</f>
        <v>15</v>
      </c>
    </row>
    <row r="992" spans="1:14">
      <c r="A992" s="2">
        <v>991</v>
      </c>
      <c r="B992" s="3">
        <v>45286</v>
      </c>
      <c r="C992" s="4">
        <f t="shared" si="45"/>
        <v>2023</v>
      </c>
      <c r="D992" s="4" t="s">
        <v>1038</v>
      </c>
      <c r="E992" s="4" t="s">
        <v>20</v>
      </c>
      <c r="F992" s="4">
        <v>34</v>
      </c>
      <c r="G992" s="4" t="str" cm="1">
        <f t="array" ref="G992">_xlfn.IFS(F992&lt;30,"Young Adult",F992&lt;50,"Adult",F992&gt;=50,"Senior")</f>
        <v>Adult</v>
      </c>
      <c r="H992" s="4" t="s">
        <v>21</v>
      </c>
      <c r="I992" s="4">
        <v>2</v>
      </c>
      <c r="J992" s="11">
        <v>50</v>
      </c>
      <c r="K992" s="13">
        <f>I992*J992</f>
        <v>100</v>
      </c>
      <c r="L992" s="19">
        <f t="shared" si="46"/>
        <v>1.5</v>
      </c>
      <c r="M992" s="19">
        <f t="shared" si="47"/>
        <v>2</v>
      </c>
      <c r="N992" s="13" cm="1">
        <f t="array" ref="N992">_xlfn.IFS(C992=2023,K992*$P$2,C992=2024,K992*$P$3)</f>
        <v>1.5</v>
      </c>
    </row>
    <row r="993" spans="1:14">
      <c r="A993" s="2">
        <v>992</v>
      </c>
      <c r="B993" s="3">
        <v>45159</v>
      </c>
      <c r="C993" s="4">
        <f t="shared" si="45"/>
        <v>2023</v>
      </c>
      <c r="D993" s="4" t="s">
        <v>1039</v>
      </c>
      <c r="E993" s="4" t="s">
        <v>20</v>
      </c>
      <c r="F993" s="4">
        <v>57</v>
      </c>
      <c r="G993" s="4" t="str" cm="1">
        <f t="array" ref="G993">_xlfn.IFS(F993&lt;30,"Young Adult",F993&lt;50,"Adult",F993&gt;=50,"Senior")</f>
        <v>Senior</v>
      </c>
      <c r="H993" s="4" t="s">
        <v>24</v>
      </c>
      <c r="I993" s="4">
        <v>2</v>
      </c>
      <c r="J993" s="11">
        <v>30</v>
      </c>
      <c r="K993" s="13">
        <f>I993*J993</f>
        <v>60</v>
      </c>
      <c r="L993" s="19">
        <f t="shared" si="46"/>
        <v>0.89999999999999991</v>
      </c>
      <c r="M993" s="19">
        <f t="shared" si="47"/>
        <v>1.2</v>
      </c>
      <c r="N993" s="13" cm="1">
        <f t="array" ref="N993">_xlfn.IFS(C993=2023,K993*$P$2,C993=2024,K993*$P$3)</f>
        <v>0.89999999999999991</v>
      </c>
    </row>
    <row r="994" spans="1:14">
      <c r="A994" s="2">
        <v>993</v>
      </c>
      <c r="B994" s="3">
        <v>44963</v>
      </c>
      <c r="C994" s="4">
        <f t="shared" si="45"/>
        <v>2023</v>
      </c>
      <c r="D994" s="4" t="s">
        <v>1040</v>
      </c>
      <c r="E994" s="4" t="s">
        <v>20</v>
      </c>
      <c r="F994" s="4">
        <v>48</v>
      </c>
      <c r="G994" s="4" t="str" cm="1">
        <f t="array" ref="G994">_xlfn.IFS(F994&lt;30,"Young Adult",F994&lt;50,"Adult",F994&gt;=50,"Senior")</f>
        <v>Adult</v>
      </c>
      <c r="H994" s="4" t="s">
        <v>24</v>
      </c>
      <c r="I994" s="4">
        <v>3</v>
      </c>
      <c r="J994" s="11">
        <v>50</v>
      </c>
      <c r="K994" s="13">
        <f>I994*J994</f>
        <v>150</v>
      </c>
      <c r="L994" s="19">
        <f t="shared" si="46"/>
        <v>2.25</v>
      </c>
      <c r="M994" s="19">
        <f t="shared" si="47"/>
        <v>3</v>
      </c>
      <c r="N994" s="13" cm="1">
        <f t="array" ref="N994">_xlfn.IFS(C994=2023,K994*$P$2,C994=2024,K994*$P$3)</f>
        <v>2.25</v>
      </c>
    </row>
    <row r="995" spans="1:14">
      <c r="A995" s="2">
        <v>994</v>
      </c>
      <c r="B995" s="3">
        <v>45278</v>
      </c>
      <c r="C995" s="4">
        <f t="shared" si="45"/>
        <v>2023</v>
      </c>
      <c r="D995" s="4" t="s">
        <v>1041</v>
      </c>
      <c r="E995" s="4" t="s">
        <v>20</v>
      </c>
      <c r="F995" s="4">
        <v>51</v>
      </c>
      <c r="G995" s="4" t="str" cm="1">
        <f t="array" ref="G995">_xlfn.IFS(F995&lt;30,"Young Adult",F995&lt;50,"Adult",F995&gt;=50,"Senior")</f>
        <v>Senior</v>
      </c>
      <c r="H995" s="4" t="s">
        <v>17</v>
      </c>
      <c r="I995" s="4">
        <v>2</v>
      </c>
      <c r="J995" s="11">
        <v>500</v>
      </c>
      <c r="K995" s="13">
        <f>I995*J995</f>
        <v>1000</v>
      </c>
      <c r="L995" s="19">
        <f t="shared" si="46"/>
        <v>15</v>
      </c>
      <c r="M995" s="19">
        <f t="shared" si="47"/>
        <v>20</v>
      </c>
      <c r="N995" s="13" cm="1">
        <f t="array" ref="N995">_xlfn.IFS(C995=2023,K995*$P$2,C995=2024,K995*$P$3)</f>
        <v>15</v>
      </c>
    </row>
    <row r="996" spans="1:14">
      <c r="A996" s="2">
        <v>995</v>
      </c>
      <c r="B996" s="3">
        <v>45046</v>
      </c>
      <c r="C996" s="4">
        <f t="shared" si="45"/>
        <v>2023</v>
      </c>
      <c r="D996" s="4" t="s">
        <v>1042</v>
      </c>
      <c r="E996" s="4" t="s">
        <v>20</v>
      </c>
      <c r="F996" s="4">
        <v>41</v>
      </c>
      <c r="G996" s="4" t="str" cm="1">
        <f t="array" ref="G996">_xlfn.IFS(F996&lt;30,"Young Adult",F996&lt;50,"Adult",F996&gt;=50,"Senior")</f>
        <v>Adult</v>
      </c>
      <c r="H996" s="4" t="s">
        <v>21</v>
      </c>
      <c r="I996" s="4">
        <v>1</v>
      </c>
      <c r="J996" s="11">
        <v>30</v>
      </c>
      <c r="K996" s="13">
        <f>I996*J996</f>
        <v>30</v>
      </c>
      <c r="L996" s="19">
        <f t="shared" si="46"/>
        <v>0.44999999999999996</v>
      </c>
      <c r="M996" s="19">
        <f t="shared" si="47"/>
        <v>0.6</v>
      </c>
      <c r="N996" s="13" cm="1">
        <f t="array" ref="N996">_xlfn.IFS(C996=2023,K996*$P$2,C996=2024,K996*$P$3)</f>
        <v>0.44999999999999996</v>
      </c>
    </row>
    <row r="997" spans="1:14">
      <c r="A997" s="2">
        <v>996</v>
      </c>
      <c r="B997" s="3">
        <v>45062</v>
      </c>
      <c r="C997" s="4">
        <f t="shared" si="45"/>
        <v>2023</v>
      </c>
      <c r="D997" s="4" t="s">
        <v>1043</v>
      </c>
      <c r="E997" s="4" t="s">
        <v>16</v>
      </c>
      <c r="F997" s="4">
        <v>62</v>
      </c>
      <c r="G997" s="4" t="str" cm="1">
        <f t="array" ref="G997">_xlfn.IFS(F997&lt;30,"Young Adult",F997&lt;50,"Adult",F997&gt;=50,"Senior")</f>
        <v>Senior</v>
      </c>
      <c r="H997" s="4" t="s">
        <v>21</v>
      </c>
      <c r="I997" s="4">
        <v>1</v>
      </c>
      <c r="J997" s="11">
        <v>50</v>
      </c>
      <c r="K997" s="13">
        <f>I997*J997</f>
        <v>50</v>
      </c>
      <c r="L997" s="19">
        <f t="shared" si="46"/>
        <v>0.75</v>
      </c>
      <c r="M997" s="19">
        <f t="shared" si="47"/>
        <v>1</v>
      </c>
      <c r="N997" s="13" cm="1">
        <f t="array" ref="N997">_xlfn.IFS(C997=2023,K997*$P$2,C997=2024,K997*$P$3)</f>
        <v>0.75</v>
      </c>
    </row>
    <row r="998" spans="1:14">
      <c r="A998" s="2">
        <v>997</v>
      </c>
      <c r="B998" s="3">
        <v>45247</v>
      </c>
      <c r="C998" s="4">
        <f t="shared" si="45"/>
        <v>2023</v>
      </c>
      <c r="D998" s="4" t="s">
        <v>1044</v>
      </c>
      <c r="E998" s="4" t="s">
        <v>16</v>
      </c>
      <c r="F998" s="4">
        <v>52</v>
      </c>
      <c r="G998" s="4" t="str" cm="1">
        <f t="array" ref="G998">_xlfn.IFS(F998&lt;30,"Young Adult",F998&lt;50,"Adult",F998&gt;=50,"Senior")</f>
        <v>Senior</v>
      </c>
      <c r="H998" s="4" t="s">
        <v>17</v>
      </c>
      <c r="I998" s="4">
        <v>3</v>
      </c>
      <c r="J998" s="11">
        <v>30</v>
      </c>
      <c r="K998" s="13">
        <f>I998*J998</f>
        <v>90</v>
      </c>
      <c r="L998" s="19">
        <f t="shared" si="46"/>
        <v>1.3499999999999999</v>
      </c>
      <c r="M998" s="19">
        <f t="shared" si="47"/>
        <v>1.8</v>
      </c>
      <c r="N998" s="13" cm="1">
        <f t="array" ref="N998">_xlfn.IFS(C998=2023,K998*$P$2,C998=2024,K998*$P$3)</f>
        <v>1.3499999999999999</v>
      </c>
    </row>
    <row r="999" spans="1:14">
      <c r="A999" s="2">
        <v>998</v>
      </c>
      <c r="B999" s="3">
        <v>45228</v>
      </c>
      <c r="C999" s="4">
        <f t="shared" si="45"/>
        <v>2023</v>
      </c>
      <c r="D999" s="4" t="s">
        <v>1045</v>
      </c>
      <c r="E999" s="4" t="s">
        <v>20</v>
      </c>
      <c r="F999" s="4">
        <v>23</v>
      </c>
      <c r="G999" s="4" t="str" cm="1">
        <f t="array" ref="G999">_xlfn.IFS(F999&lt;30,"Young Adult",F999&lt;50,"Adult",F999&gt;=50,"Senior")</f>
        <v>Young Adult</v>
      </c>
      <c r="H999" s="4" t="s">
        <v>17</v>
      </c>
      <c r="I999" s="4">
        <v>4</v>
      </c>
      <c r="J999" s="11">
        <v>25</v>
      </c>
      <c r="K999" s="13">
        <f>I999*J999</f>
        <v>100</v>
      </c>
      <c r="L999" s="19">
        <f t="shared" si="46"/>
        <v>1.5</v>
      </c>
      <c r="M999" s="19">
        <f t="shared" si="47"/>
        <v>2</v>
      </c>
      <c r="N999" s="13" cm="1">
        <f t="array" ref="N999">_xlfn.IFS(C999=2023,K999*$P$2,C999=2024,K999*$P$3)</f>
        <v>1.5</v>
      </c>
    </row>
    <row r="1000" spans="1:14">
      <c r="A1000" s="2">
        <v>999</v>
      </c>
      <c r="B1000" s="3">
        <v>45265</v>
      </c>
      <c r="C1000" s="4">
        <f t="shared" si="45"/>
        <v>2023</v>
      </c>
      <c r="D1000" s="4" t="s">
        <v>1046</v>
      </c>
      <c r="E1000" s="4" t="s">
        <v>20</v>
      </c>
      <c r="F1000" s="4">
        <v>36</v>
      </c>
      <c r="G1000" s="4" t="str" cm="1">
        <f t="array" ref="G1000">_xlfn.IFS(F1000&lt;30,"Young Adult",F1000&lt;50,"Adult",F1000&gt;=50,"Senior")</f>
        <v>Adult</v>
      </c>
      <c r="H1000" s="4" t="s">
        <v>24</v>
      </c>
      <c r="I1000" s="4">
        <v>3</v>
      </c>
      <c r="J1000" s="11">
        <v>50</v>
      </c>
      <c r="K1000" s="13">
        <f>I1000*J1000</f>
        <v>150</v>
      </c>
      <c r="L1000" s="19">
        <f t="shared" si="46"/>
        <v>2.25</v>
      </c>
      <c r="M1000" s="19">
        <f t="shared" si="47"/>
        <v>3</v>
      </c>
      <c r="N1000" s="13" cm="1">
        <f t="array" ref="N1000">_xlfn.IFS(C1000=2023,K1000*$P$2,C1000=2024,K1000*$P$3)</f>
        <v>2.25</v>
      </c>
    </row>
    <row r="1001" spans="1:14">
      <c r="A1001" s="5">
        <v>1000</v>
      </c>
      <c r="B1001" s="6">
        <v>45028</v>
      </c>
      <c r="C1001" s="4">
        <f t="shared" si="45"/>
        <v>2023</v>
      </c>
      <c r="D1001" s="7" t="s">
        <v>1047</v>
      </c>
      <c r="E1001" s="7" t="s">
        <v>16</v>
      </c>
      <c r="F1001" s="7">
        <v>47</v>
      </c>
      <c r="G1001" s="4" t="str" cm="1">
        <f t="array" ref="G1001">_xlfn.IFS(F1001&lt;30,"Young Adult",F1001&lt;50,"Adult",F1001&gt;=50,"Senior")</f>
        <v>Adult</v>
      </c>
      <c r="H1001" s="7" t="s">
        <v>24</v>
      </c>
      <c r="I1001" s="7">
        <v>4</v>
      </c>
      <c r="J1001" s="12">
        <v>30</v>
      </c>
      <c r="K1001" s="13">
        <f>I1001*J1001</f>
        <v>120</v>
      </c>
      <c r="L1001" s="19">
        <f t="shared" si="46"/>
        <v>1.7999999999999998</v>
      </c>
      <c r="M1001" s="19">
        <f t="shared" si="47"/>
        <v>2.4</v>
      </c>
      <c r="N1001" s="13" cm="1">
        <f t="array" ref="N1001">_xlfn.IFS(C1001=2023,K1001*$P$2,C1001=2024,K1001*$P$3)</f>
        <v>1.7999999999999998</v>
      </c>
    </row>
    <row r="1002" spans="1:14">
      <c r="C1002" s="4">
        <f t="shared" si="45"/>
        <v>1900</v>
      </c>
      <c r="G1002" s="4" t="str" cm="1">
        <f t="array" ref="G1002">_xlfn.IFS(F1002&lt;30,"Young Adult",F1002&lt;50,"Adult",F1002&gt;=50,"Senior")</f>
        <v>Young Adult</v>
      </c>
      <c r="N1002" s="13" t="e" cm="1">
        <f t="array" ref="N1002">_xlfn.IFS(C1002=2023,K1002*$P$2,C1002=2024,K1002*$P$3)</f>
        <v>#N/A</v>
      </c>
    </row>
  </sheetData>
  <autoFilter ref="A1:K1002" xr:uid="{00000000-0001-0000-0000-000000000000}">
    <sortState xmlns:xlrd2="http://schemas.microsoft.com/office/spreadsheetml/2017/richdata2" ref="A2:K1002">
      <sortCondition ref="A1:A1002"/>
    </sortState>
  </autoFilter>
  <conditionalFormatting sqref="P32:P3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2:S3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7:P39 S37:S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ellIs" dxfId="2" priority="3" operator="equal">
      <formula>"Senior"</formula>
    </cfRule>
  </conditionalFormatting>
  <conditionalFormatting sqref="G1:G1048576">
    <cfRule type="cellIs" dxfId="1" priority="2" operator="equal">
      <formula>"Young Adult"</formula>
    </cfRule>
  </conditionalFormatting>
  <conditionalFormatting sqref="A1:A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4"/>
  <sheetViews>
    <sheetView workbookViewId="0">
      <selection activeCell="A14" sqref="A14:D14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0</v>
      </c>
      <c r="B1" s="1" t="s">
        <v>1048</v>
      </c>
      <c r="C1" s="1" t="s">
        <v>1049</v>
      </c>
      <c r="D1" s="1" t="s">
        <v>1050</v>
      </c>
    </row>
    <row r="2" spans="1:4">
      <c r="A2">
        <v>10</v>
      </c>
      <c r="B2">
        <f>VLOOKUP(A2,'retail_sales_dataset (2)'!A:K,11,FALSE)</f>
        <v>200</v>
      </c>
      <c r="C2" t="str">
        <f>VLOOKUP(A2,'retail_sales_dataset (2)'!A:K,8,FALSE)</f>
        <v>Clothing</v>
      </c>
      <c r="D2" t="str">
        <f>_xlfn.CONCAT(B2," ",C2)</f>
        <v>200 Clothing</v>
      </c>
    </row>
    <row r="3" spans="1:4">
      <c r="A3">
        <v>15</v>
      </c>
      <c r="B3">
        <f>VLOOKUP(A3,'retail_sales_dataset (2)'!A:K,11,FALSE)</f>
        <v>2000</v>
      </c>
      <c r="C3" t="str">
        <f>VLOOKUP(A3,'retail_sales_dataset (2)'!A:K,8,FALSE)</f>
        <v>Electronics</v>
      </c>
      <c r="D3" t="str">
        <f t="shared" ref="D3:D10" si="0">_xlfn.CONCAT(B3," ",C3)</f>
        <v>2000 Electronics</v>
      </c>
    </row>
    <row r="4" spans="1:4">
      <c r="A4">
        <v>25</v>
      </c>
      <c r="B4">
        <f>VLOOKUP(A4,'retail_sales_dataset (2)'!A:K,11,FALSE)</f>
        <v>50</v>
      </c>
      <c r="C4" t="str">
        <f>VLOOKUP(A4,'retail_sales_dataset (2)'!A:K,8,FALSE)</f>
        <v>Beauty</v>
      </c>
      <c r="D4" t="str">
        <f t="shared" si="0"/>
        <v>50 Beauty</v>
      </c>
    </row>
    <row r="5" spans="1:4">
      <c r="A5">
        <v>30</v>
      </c>
      <c r="B5">
        <f>VLOOKUP(A5,'retail_sales_dataset (2)'!A:K,11,FALSE)</f>
        <v>900</v>
      </c>
      <c r="C5" t="str">
        <f>VLOOKUP(A5,'retail_sales_dataset (2)'!A:K,8,FALSE)</f>
        <v>Beauty</v>
      </c>
      <c r="D5" t="str">
        <f t="shared" si="0"/>
        <v>900 Beauty</v>
      </c>
    </row>
    <row r="6" spans="1:4">
      <c r="A6">
        <v>54</v>
      </c>
      <c r="B6">
        <f>VLOOKUP(A6,'retail_sales_dataset (2)'!A:K,11,FALSE)</f>
        <v>1500</v>
      </c>
      <c r="C6" t="str">
        <f>VLOOKUP(A6,'retail_sales_dataset (2)'!A:K,8,FALSE)</f>
        <v>Electronics</v>
      </c>
      <c r="D6" t="str">
        <f t="shared" si="0"/>
        <v>1500 Electronics</v>
      </c>
    </row>
    <row r="7" spans="1:4">
      <c r="A7">
        <v>55</v>
      </c>
      <c r="B7">
        <f>VLOOKUP(A7,'retail_sales_dataset (2)'!A:K,11,FALSE)</f>
        <v>120</v>
      </c>
      <c r="C7" t="str">
        <f>VLOOKUP(A7,'retail_sales_dataset (2)'!A:K,8,FALSE)</f>
        <v>Beauty</v>
      </c>
      <c r="D7" t="str">
        <f t="shared" si="0"/>
        <v>120 Beauty</v>
      </c>
    </row>
    <row r="8" spans="1:4">
      <c r="A8">
        <v>67</v>
      </c>
      <c r="B8">
        <f>VLOOKUP(A8,'retail_sales_dataset (2)'!A:K,11,FALSE)</f>
        <v>1200</v>
      </c>
      <c r="C8" t="str">
        <f>VLOOKUP(A8,'retail_sales_dataset (2)'!A:K,8,FALSE)</f>
        <v>Beauty</v>
      </c>
      <c r="D8" t="str">
        <f t="shared" si="0"/>
        <v>1200 Beauty</v>
      </c>
    </row>
    <row r="9" spans="1:4">
      <c r="A9">
        <v>89</v>
      </c>
      <c r="B9">
        <f>VLOOKUP(A9,'retail_sales_dataset (2)'!A:K,11,FALSE)</f>
        <v>2000</v>
      </c>
      <c r="C9" t="str">
        <f>VLOOKUP(A9,'retail_sales_dataset (2)'!A:K,8,FALSE)</f>
        <v>Electronics</v>
      </c>
      <c r="D9" t="str">
        <f t="shared" si="0"/>
        <v>2000 Electronics</v>
      </c>
    </row>
    <row r="10" spans="1:4">
      <c r="A10">
        <v>100</v>
      </c>
      <c r="B10">
        <f>VLOOKUP(A10,'retail_sales_dataset (2)'!A:K,11,FALSE)</f>
        <v>30</v>
      </c>
      <c r="C10" t="str">
        <f>VLOOKUP(A10,'retail_sales_dataset (2)'!A:K,8,FALSE)</f>
        <v>Electronics</v>
      </c>
      <c r="D10" t="str">
        <f t="shared" si="0"/>
        <v>30 Electronics</v>
      </c>
    </row>
    <row r="12" spans="1:4">
      <c r="A12">
        <f>COUNT(A2:A10)</f>
        <v>9</v>
      </c>
      <c r="B12">
        <f t="shared" ref="B12:D12" si="1">COUNT(B2:B10)</f>
        <v>9</v>
      </c>
      <c r="C12">
        <f t="shared" si="1"/>
        <v>0</v>
      </c>
      <c r="D12">
        <f t="shared" si="1"/>
        <v>0</v>
      </c>
    </row>
    <row r="14" spans="1:4">
      <c r="A14">
        <f>COUNTA(A2:A10)</f>
        <v>9</v>
      </c>
      <c r="B14">
        <f t="shared" ref="B14:D14" si="2">COUNTA(B2:B10)</f>
        <v>9</v>
      </c>
      <c r="C14">
        <f t="shared" si="2"/>
        <v>9</v>
      </c>
      <c r="D14">
        <f t="shared" si="2"/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5575EC4-E142-4B68-9BA1-7D9F83EA5067}"/>
</file>

<file path=customXml/itemProps2.xml><?xml version="1.0" encoding="utf-8"?>
<ds:datastoreItem xmlns:ds="http://schemas.openxmlformats.org/officeDocument/2006/customXml" ds:itemID="{A85E162B-7A50-4957-AE78-A5F153441C86}"/>
</file>

<file path=customXml/itemProps3.xml><?xml version="1.0" encoding="utf-8"?>
<ds:datastoreItem xmlns:ds="http://schemas.openxmlformats.org/officeDocument/2006/customXml" ds:itemID="{8B7F014E-65B1-48DD-A1AF-A79E02398FCF}"/>
</file>

<file path=customXml/itemProps4.xml><?xml version="1.0" encoding="utf-8"?>
<ds:datastoreItem xmlns:ds="http://schemas.openxmlformats.org/officeDocument/2006/customXml" ds:itemID="{09B95C5D-16BB-4BEF-B316-6D3A8C9DD811}"/>
</file>

<file path=customXml/itemProps5.xml><?xml version="1.0" encoding="utf-8"?>
<ds:datastoreItem xmlns:ds="http://schemas.openxmlformats.org/officeDocument/2006/customXml" ds:itemID="{06D295F5-8058-4546-A127-35DC9120150C}"/>
</file>

<file path=customXml/itemProps6.xml><?xml version="1.0" encoding="utf-8"?>
<ds:datastoreItem xmlns:ds="http://schemas.openxmlformats.org/officeDocument/2006/customXml" ds:itemID="{0ECF1352-6F0C-4E7B-8AFB-2EA761E69D98}"/>
</file>

<file path=customXml/itemProps7.xml><?xml version="1.0" encoding="utf-8"?>
<ds:datastoreItem xmlns:ds="http://schemas.openxmlformats.org/officeDocument/2006/customXml" ds:itemID="{B46F128A-B7FE-46C0-9B9B-600600B1B28E}"/>
</file>

<file path=customXml/itemProps8.xml><?xml version="1.0" encoding="utf-8"?>
<ds:datastoreItem xmlns:ds="http://schemas.openxmlformats.org/officeDocument/2006/customXml" ds:itemID="{6DA07CEC-807D-4764-A388-A6BBED7640E0}"/>
</file>

<file path=customXml/itemProps9.xml><?xml version="1.0" encoding="utf-8"?>
<ds:datastoreItem xmlns:ds="http://schemas.openxmlformats.org/officeDocument/2006/customXml" ds:itemID="{E643224C-1CC4-4A7F-A567-22ECFBDF619E}"/>
</file>

<file path=customXml/itemProps10.xml><?xml version="1.0" encoding="utf-8"?>
<ds:datastoreItem xmlns:ds="http://schemas.openxmlformats.org/officeDocument/2006/customXml" ds:itemID="{9190CA0F-535F-4E99-9D22-E64B1EB7326E}"/>
</file>

<file path=customXml/itemProps11.xml><?xml version="1.0" encoding="utf-8"?>
<ds:datastoreItem xmlns:ds="http://schemas.openxmlformats.org/officeDocument/2006/customXml" ds:itemID="{E2D36A1E-236C-4E19-9955-D6B07E5D30B7}"/>
</file>

<file path=customXml/itemProps12.xml><?xml version="1.0" encoding="utf-8"?>
<ds:datastoreItem xmlns:ds="http://schemas.openxmlformats.org/officeDocument/2006/customXml" ds:itemID="{FE6DF61C-7ABD-44B9-B769-8F2899BB81F7}"/>
</file>

<file path=customXml/itemProps13.xml><?xml version="1.0" encoding="utf-8"?>
<ds:datastoreItem xmlns:ds="http://schemas.openxmlformats.org/officeDocument/2006/customXml" ds:itemID="{A4B88D49-EA58-47E5-AA07-36D60BC9149C}"/>
</file>

<file path=customXml/itemProps14.xml><?xml version="1.0" encoding="utf-8"?>
<ds:datastoreItem xmlns:ds="http://schemas.openxmlformats.org/officeDocument/2006/customXml" ds:itemID="{DD9334D5-6C08-4A46-AD2C-FA9BF6D4670C}"/>
</file>

<file path=customXml/itemProps15.xml><?xml version="1.0" encoding="utf-8"?>
<ds:datastoreItem xmlns:ds="http://schemas.openxmlformats.org/officeDocument/2006/customXml" ds:itemID="{82F3FFA2-A909-498D-9BC6-33DF5B99923B}"/>
</file>

<file path=customXml/itemProps16.xml><?xml version="1.0" encoding="utf-8"?>
<ds:datastoreItem xmlns:ds="http://schemas.openxmlformats.org/officeDocument/2006/customXml" ds:itemID="{19C66761-A138-4D29-95EB-4CF018C84C81}"/>
</file>

<file path=customXml/itemProps17.xml><?xml version="1.0" encoding="utf-8"?>
<ds:datastoreItem xmlns:ds="http://schemas.openxmlformats.org/officeDocument/2006/customXml" ds:itemID="{B0863CD4-1E7A-4D88-A05C-62E37A52A464}"/>
</file>

<file path=customXml/itemProps18.xml><?xml version="1.0" encoding="utf-8"?>
<ds:datastoreItem xmlns:ds="http://schemas.openxmlformats.org/officeDocument/2006/customXml" ds:itemID="{3E8CB0BE-C4BA-4913-9C77-CD4B1441093A}"/>
</file>

<file path=customXml/itemProps19.xml><?xml version="1.0" encoding="utf-8"?>
<ds:datastoreItem xmlns:ds="http://schemas.openxmlformats.org/officeDocument/2006/customXml" ds:itemID="{6A238311-EE1E-4F00-870C-F1577541CA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2026-06-15T13:00:07Z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