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0AFA4728-1F69-41D2-86D1-493808FCEB6D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 a="1"/>
  <c r="E25" i="3"/>
  <c r="C18" i="3"/>
  <c r="C9" i="2"/>
  <c r="D9" i="2"/>
  <c r="E9" i="2"/>
  <c r="F9" i="2"/>
  <c r="G9" i="2"/>
  <c r="H9" i="2"/>
  <c r="I9" i="2"/>
  <c r="J9" i="2"/>
  <c r="K9" i="2"/>
  <c r="L9" i="2"/>
  <c r="M9" i="2"/>
  <c r="C17" i="2"/>
  <c r="D17" i="2"/>
  <c r="E17" i="2"/>
  <c r="F17" i="2"/>
  <c r="G17" i="2"/>
  <c r="H17" i="2"/>
  <c r="I17" i="2"/>
  <c r="J17" i="2"/>
  <c r="K17" i="2"/>
  <c r="L17" i="2"/>
  <c r="M17" i="2"/>
  <c r="C19" i="2"/>
  <c r="D19" i="2"/>
  <c r="E19" i="2"/>
  <c r="F19" i="2"/>
  <c r="G19" i="2"/>
  <c r="H19" i="2"/>
  <c r="I19" i="2"/>
  <c r="J19" i="2"/>
  <c r="K19" i="2"/>
  <c r="L19" i="2"/>
  <c r="M19" i="2"/>
  <c r="C20" i="2"/>
  <c r="D20" i="2"/>
  <c r="E20" i="2"/>
  <c r="F20" i="2"/>
  <c r="G20" i="2"/>
  <c r="H20" i="2"/>
  <c r="I20" i="2"/>
  <c r="J20" i="2"/>
  <c r="K20" i="2"/>
  <c r="L20" i="2"/>
  <c r="M20" i="2"/>
  <c r="C21" i="2"/>
  <c r="D21" i="2"/>
  <c r="E21" i="2"/>
  <c r="F21" i="2"/>
  <c r="G21" i="2"/>
  <c r="H21" i="2"/>
  <c r="I21" i="2"/>
  <c r="J21" i="2"/>
  <c r="K21" i="2"/>
  <c r="L21" i="2"/>
  <c r="M21" i="2"/>
  <c r="C22" i="2"/>
  <c r="D22" i="2"/>
  <c r="E22" i="2"/>
  <c r="F22" i="2"/>
  <c r="G22" i="2"/>
  <c r="H22" i="2"/>
  <c r="I22" i="2"/>
  <c r="J22" i="2"/>
  <c r="K22" i="2"/>
  <c r="L22" i="2"/>
  <c r="M22" i="2"/>
  <c r="C23" i="2"/>
  <c r="D23" i="2"/>
  <c r="E23" i="2"/>
  <c r="F23" i="2"/>
  <c r="G23" i="2"/>
  <c r="H23" i="2"/>
  <c r="I23" i="2"/>
  <c r="J23" i="2"/>
  <c r="K23" i="2"/>
  <c r="L23" i="2"/>
  <c r="M23" i="2"/>
  <c r="N17" i="2"/>
  <c r="O17" i="2"/>
  <c r="B17" i="2"/>
  <c r="N9" i="2"/>
  <c r="N19" i="2" s="1"/>
  <c r="O9" i="2"/>
  <c r="O19" i="2" s="1"/>
  <c r="B9" i="2"/>
  <c r="B19" i="2" s="1"/>
  <c r="O22" i="2" l="1"/>
  <c r="O21" i="2"/>
  <c r="O20" i="2"/>
  <c r="N22" i="2"/>
  <c r="N21" i="2"/>
  <c r="N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B24" i="3"/>
  <c r="C24" i="3"/>
  <c r="C29" i="3"/>
  <c r="N23" i="2"/>
  <c r="B22" i="2"/>
  <c r="B21" i="2"/>
  <c r="B20" i="2"/>
  <c r="B2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<sst xmlns="http://schemas.openxmlformats.org/spreadsheetml/2006/main" count="93" uniqueCount="41">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</sst>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L14" sqref="L14"/>
    </sheetView>
  </sheetViews>
  <sheetFormatPr defaultRowHeight="15"/>
  <cols>
    <col min="1" max="1" width="16.7109375" bestFit="1" customWidth="1"/>
    <col min="2" max="5" width="9" bestFit="1" customWidth="1"/>
    <col min="6" max="15" width="9.14062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10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4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/>
      <c r="G14" s="16"/>
      <c r="H14" s="16"/>
      <c r="I14" s="16"/>
      <c r="J14" s="16"/>
      <c r="K14" s="16"/>
      <c r="L14" s="16"/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26</v>
      </c>
      <c r="B17" s="6">
        <f>SUM(B12:B16)</f>
        <v>44</v>
      </c>
      <c r="C17" s="6">
        <f t="shared" ref="C17:O17" si="1">SUM(C12:C16)</f>
        <v>43</v>
      </c>
      <c r="D17" s="6">
        <f t="shared" si="1"/>
        <v>42</v>
      </c>
      <c r="E17" s="6">
        <f t="shared" si="1"/>
        <v>38</v>
      </c>
      <c r="F17" s="6">
        <f t="shared" si="1"/>
        <v>35</v>
      </c>
      <c r="G17" s="6">
        <f t="shared" si="1"/>
        <v>34</v>
      </c>
      <c r="H17" s="6">
        <f t="shared" si="1"/>
        <v>32</v>
      </c>
      <c r="I17" s="6">
        <f t="shared" si="1"/>
        <v>28</v>
      </c>
      <c r="J17" s="6">
        <f t="shared" si="1"/>
        <v>28</v>
      </c>
      <c r="K17" s="6">
        <f t="shared" si="1"/>
        <v>35</v>
      </c>
      <c r="L17" s="6">
        <f t="shared" si="1"/>
        <v>30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23">
        <f>B17*B9</f>
        <v>800.96923076923076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430.4596153846154</v>
      </c>
      <c r="F19" s="23">
        <f t="shared" si="2"/>
        <v>334.65384615384613</v>
      </c>
      <c r="G19" s="23">
        <f t="shared" si="2"/>
        <v>538.08269230769235</v>
      </c>
      <c r="H19" s="23">
        <f t="shared" si="2"/>
        <v>291.24615384615385</v>
      </c>
      <c r="I19" s="23">
        <f t="shared" si="2"/>
        <v>441.92884615384617</v>
      </c>
      <c r="J19" s="23">
        <f t="shared" si="2"/>
        <v>515.52307692307693</v>
      </c>
      <c r="K19" s="23">
        <f t="shared" si="2"/>
        <v>480.47596153846155</v>
      </c>
      <c r="L19" s="23">
        <f t="shared" si="2"/>
        <v>394.73076923076923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256.31015384615387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137.74707692307695</v>
      </c>
      <c r="F20" s="23">
        <f t="shared" si="3"/>
        <v>107.08923076923077</v>
      </c>
      <c r="G20" s="23">
        <f t="shared" si="3"/>
        <v>172.18646153846154</v>
      </c>
      <c r="H20" s="23">
        <f t="shared" si="3"/>
        <v>93.19876923076923</v>
      </c>
      <c r="I20" s="23">
        <f t="shared" si="3"/>
        <v>141.41723076923077</v>
      </c>
      <c r="J20" s="23">
        <f t="shared" si="3"/>
        <v>164.96738461538462</v>
      </c>
      <c r="K20" s="23">
        <f t="shared" si="3"/>
        <v>153.75230769230771</v>
      </c>
      <c r="L20" s="23">
        <f t="shared" si="3"/>
        <v>126.31384615384616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3</v>
      </c>
      <c r="B21" s="23">
        <f>B19*$B$5</f>
        <v>64.077538461538467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34.436769230769237</v>
      </c>
      <c r="F21" s="23">
        <f t="shared" si="4"/>
        <v>26.772307692307692</v>
      </c>
      <c r="G21" s="23">
        <f t="shared" si="4"/>
        <v>43.046615384615386</v>
      </c>
      <c r="H21" s="23">
        <f t="shared" si="4"/>
        <v>23.299692307692307</v>
      </c>
      <c r="I21" s="23">
        <f t="shared" si="4"/>
        <v>35.354307692307692</v>
      </c>
      <c r="J21" s="23">
        <f t="shared" si="4"/>
        <v>41.241846153846154</v>
      </c>
      <c r="K21" s="23">
        <f t="shared" si="4"/>
        <v>38.438076923076927</v>
      </c>
      <c r="L21" s="23">
        <f t="shared" si="4"/>
        <v>31.578461538461539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4</v>
      </c>
      <c r="B22" s="23">
        <f>B19*$B$6</f>
        <v>40.048461538461538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21.52298076923077</v>
      </c>
      <c r="F22" s="23">
        <f t="shared" si="5"/>
        <v>16.732692307692307</v>
      </c>
      <c r="G22" s="23">
        <f t="shared" si="5"/>
        <v>26.904134615384621</v>
      </c>
      <c r="H22" s="23">
        <f t="shared" si="5"/>
        <v>14.562307692307693</v>
      </c>
      <c r="I22" s="23">
        <f t="shared" si="5"/>
        <v>22.09644230769231</v>
      </c>
      <c r="J22" s="23">
        <f t="shared" si="5"/>
        <v>25.776153846153846</v>
      </c>
      <c r="K22" s="23">
        <f t="shared" si="5"/>
        <v>24.023798076923079</v>
      </c>
      <c r="L22" s="23">
        <f t="shared" si="5"/>
        <v>19.736538461538462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28</v>
      </c>
      <c r="B23" s="24">
        <f>B19-B20-B21-B22</f>
        <v>440.53307692307692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236.75278846153842</v>
      </c>
      <c r="F23" s="24">
        <f t="shared" si="6"/>
        <v>184.05961538461537</v>
      </c>
      <c r="G23" s="24">
        <f t="shared" si="6"/>
        <v>295.94548076923076</v>
      </c>
      <c r="H23" s="24">
        <f t="shared" si="6"/>
        <v>160.18538461538461</v>
      </c>
      <c r="I23" s="24">
        <f t="shared" si="6"/>
        <v>243.0608653846154</v>
      </c>
      <c r="J23" s="24">
        <f t="shared" si="6"/>
        <v>283.53769230769228</v>
      </c>
      <c r="K23" s="24">
        <f t="shared" si="6"/>
        <v>264.26177884615385</v>
      </c>
      <c r="L23" s="24">
        <f t="shared" si="6"/>
        <v>217.10192307692307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sheet="1" objects="1" scenarios="1" pivotTables="0"/>
  <protectedRanges>
    <protectedRange sqref="B12:O16" name="Manager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topLeftCell="A15" workbookViewId="0">
      <selection activeCell="E21" sqref="E21:H23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/>
    </row>
    <row r="2" spans="1:10">
      <c r="E2" s="17"/>
    </row>
    <row r="3" spans="1:10" ht="17.25">
      <c r="A3" s="4" t="s">
        <v>30</v>
      </c>
      <c r="B3" s="4" t="s">
        <v>31</v>
      </c>
      <c r="C3" s="4" t="s">
        <v>32</v>
      </c>
      <c r="D3" s="4" t="s">
        <v>33</v>
      </c>
    </row>
    <row r="4" spans="1:10">
      <c r="A4" t="s">
        <v>5</v>
      </c>
      <c r="B4" t="s">
        <v>34</v>
      </c>
      <c r="C4" s="26">
        <v>37864</v>
      </c>
      <c r="D4" t="s">
        <v>35</v>
      </c>
      <c r="F4" s="20"/>
      <c r="G4" s="26">
        <v>37864</v>
      </c>
      <c r="H4" s="20"/>
    </row>
    <row r="5" spans="1:10">
      <c r="A5" t="s">
        <v>6</v>
      </c>
      <c r="B5" t="s">
        <v>34</v>
      </c>
      <c r="C5" s="26">
        <v>26148</v>
      </c>
      <c r="D5" t="s">
        <v>36</v>
      </c>
      <c r="F5" s="20"/>
      <c r="G5" s="26">
        <v>26148</v>
      </c>
      <c r="H5" s="20"/>
    </row>
    <row r="6" spans="1:10">
      <c r="A6" t="s">
        <v>7</v>
      </c>
      <c r="B6" t="s">
        <v>37</v>
      </c>
      <c r="C6" s="26">
        <v>26345</v>
      </c>
      <c r="D6" t="s">
        <v>38</v>
      </c>
      <c r="F6" s="20"/>
      <c r="G6" s="26">
        <v>26345</v>
      </c>
      <c r="H6" s="20"/>
    </row>
    <row r="7" spans="1:10">
      <c r="A7" t="s">
        <v>8</v>
      </c>
      <c r="B7" t="s">
        <v>37</v>
      </c>
      <c r="C7" s="26">
        <v>23562</v>
      </c>
      <c r="D7" t="s">
        <v>35</v>
      </c>
      <c r="G7" s="26">
        <v>23562</v>
      </c>
    </row>
    <row r="8" spans="1:10">
      <c r="A8" t="s">
        <v>9</v>
      </c>
      <c r="B8" t="s">
        <v>34</v>
      </c>
      <c r="C8" s="26">
        <v>19888</v>
      </c>
      <c r="D8" t="s">
        <v>38</v>
      </c>
      <c r="G8" s="26">
        <v>19888</v>
      </c>
    </row>
    <row r="9" spans="1:10">
      <c r="A9" t="s">
        <v>10</v>
      </c>
      <c r="B9" t="s">
        <v>34</v>
      </c>
      <c r="C9" s="26">
        <v>32918</v>
      </c>
      <c r="D9" t="s">
        <v>36</v>
      </c>
      <c r="G9" s="26">
        <v>32918</v>
      </c>
      <c r="J9" s="19"/>
    </row>
    <row r="10" spans="1:10">
      <c r="A10" t="s">
        <v>11</v>
      </c>
      <c r="B10" t="s">
        <v>34</v>
      </c>
      <c r="C10" s="26">
        <v>18931</v>
      </c>
      <c r="D10" t="s">
        <v>35</v>
      </c>
      <c r="G10" s="26">
        <v>18931</v>
      </c>
      <c r="J10" s="19"/>
    </row>
    <row r="11" spans="1:10">
      <c r="A11" t="s">
        <v>12</v>
      </c>
      <c r="B11" t="s">
        <v>34</v>
      </c>
      <c r="C11" s="26">
        <v>32829</v>
      </c>
      <c r="D11" t="s">
        <v>35</v>
      </c>
      <c r="G11" s="26">
        <v>32829</v>
      </c>
      <c r="J11" s="21"/>
    </row>
    <row r="12" spans="1:10">
      <c r="A12" t="s">
        <v>13</v>
      </c>
      <c r="B12" t="s">
        <v>34</v>
      </c>
      <c r="C12" s="26">
        <v>38296</v>
      </c>
      <c r="D12" t="s">
        <v>36</v>
      </c>
      <c r="G12" s="26">
        <v>38296</v>
      </c>
    </row>
    <row r="13" spans="1:10">
      <c r="A13" t="s">
        <v>14</v>
      </c>
      <c r="B13" t="s">
        <v>37</v>
      </c>
      <c r="C13" s="26">
        <v>28554</v>
      </c>
      <c r="D13" t="s">
        <v>35</v>
      </c>
      <c r="G13" s="26">
        <v>28554</v>
      </c>
      <c r="J13" s="22"/>
    </row>
    <row r="14" spans="1:10">
      <c r="A14" t="s">
        <v>15</v>
      </c>
      <c r="B14" t="s">
        <v>34</v>
      </c>
      <c r="C14" s="26">
        <v>27368</v>
      </c>
      <c r="D14" t="s">
        <v>38</v>
      </c>
      <c r="G14" s="26">
        <v>27368</v>
      </c>
      <c r="J14" s="19"/>
    </row>
    <row r="15" spans="1:10">
      <c r="A15" t="s">
        <v>16</v>
      </c>
      <c r="B15" t="s">
        <v>37</v>
      </c>
      <c r="C15" s="26">
        <v>20850</v>
      </c>
      <c r="D15" t="s">
        <v>36</v>
      </c>
      <c r="G15" s="26">
        <v>20850</v>
      </c>
    </row>
    <row r="16" spans="1:10">
      <c r="A16" t="s">
        <v>17</v>
      </c>
      <c r="B16" t="s">
        <v>34</v>
      </c>
      <c r="C16" s="26">
        <v>19345</v>
      </c>
      <c r="D16" t="s">
        <v>36</v>
      </c>
      <c r="G16" s="26">
        <v>19345</v>
      </c>
    </row>
    <row r="17" spans="1:8">
      <c r="A17" t="s">
        <v>18</v>
      </c>
      <c r="B17" t="s">
        <v>37</v>
      </c>
      <c r="C17" s="26">
        <v>38158</v>
      </c>
      <c r="D17" t="s">
        <v>35</v>
      </c>
      <c r="G17" s="26">
        <v>38158</v>
      </c>
    </row>
    <row r="18" spans="1:8">
      <c r="A18" s="6" t="s">
        <v>26</v>
      </c>
      <c r="B18" s="6"/>
      <c r="C18" s="27">
        <f>SUM(C4:C17)</f>
        <v>391056</v>
      </c>
      <c r="D18" s="6"/>
    </row>
    <row r="20" spans="1:8">
      <c r="A20" s="3" t="s">
        <v>33</v>
      </c>
      <c r="B20" s="3" t="s">
        <v>32</v>
      </c>
      <c r="C20" s="3" t="s">
        <v>39</v>
      </c>
    </row>
    <row r="21" spans="1:8">
      <c r="A21" t="s">
        <v>35</v>
      </c>
      <c r="B21" s="25">
        <f>SUMIF($D$4:$D$17,A21,$C$4:$C$17)</f>
        <v>179898</v>
      </c>
      <c r="C21">
        <f>COUNTIF($D$4:$D$17,A21)</f>
        <v>6</v>
      </c>
    </row>
    <row r="22" spans="1:8">
      <c r="A22" t="s">
        <v>36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8">
      <c r="A23" t="s">
        <v>38</v>
      </c>
      <c r="B23" s="25">
        <f t="shared" si="0"/>
        <v>73601</v>
      </c>
      <c r="C23">
        <f t="shared" si="1"/>
        <v>3</v>
      </c>
    </row>
    <row r="24" spans="1:8">
      <c r="A24" s="6" t="s">
        <v>40</v>
      </c>
      <c r="B24" s="28">
        <f>SUM(B21:B23)</f>
        <v>391056</v>
      </c>
      <c r="C24" s="7">
        <f>SUM(C21:C23)</f>
        <v>14</v>
      </c>
    </row>
    <row r="25" spans="1:8">
      <c r="E25" t="str" cm="1">
        <f t="array" ref="E25:H27">TRANSPOSE(A21:C24)</f>
        <v>Sales</v>
      </c>
      <c r="F25" t="str">
        <v>Purchasing</v>
      </c>
      <c r="G25" t="str">
        <v>Logistics</v>
      </c>
      <c r="H25" t="str">
        <v>Total:</v>
      </c>
    </row>
    <row r="26" spans="1:8">
      <c r="A26" s="3" t="s">
        <v>31</v>
      </c>
      <c r="B26" s="3" t="s">
        <v>32</v>
      </c>
      <c r="C26" s="3" t="s">
        <v>39</v>
      </c>
      <c r="E26">
        <v>179898</v>
      </c>
      <c r="F26">
        <v>137557</v>
      </c>
      <c r="G26">
        <v>73601</v>
      </c>
      <c r="H26">
        <v>391056</v>
      </c>
    </row>
    <row r="27" spans="1:8">
      <c r="A27" t="s">
        <v>34</v>
      </c>
      <c r="B27" s="25">
        <f>SUMIF($B$4:$B$17,A27,$C$4:$C$17)</f>
        <v>253587</v>
      </c>
      <c r="C27">
        <f>COUNTIF(B4:B17,A27)</f>
        <v>9</v>
      </c>
      <c r="E27">
        <v>6</v>
      </c>
      <c r="F27">
        <v>5</v>
      </c>
      <c r="G27">
        <v>3</v>
      </c>
      <c r="H27">
        <v>14</v>
      </c>
    </row>
    <row r="28" spans="1:8">
      <c r="A28" t="s">
        <v>37</v>
      </c>
      <c r="B28" s="25">
        <f>SUMIF($B$4:$B$17,A28,$C$4:$C$17)</f>
        <v>137469</v>
      </c>
      <c r="C28">
        <f>COUNTIF(B5:B17,A28)</f>
        <v>5</v>
      </c>
    </row>
    <row r="29" spans="1:8">
      <c r="A29" s="6" t="s">
        <v>40</v>
      </c>
      <c r="B29" s="28">
        <f>SUM(B27:B28)</f>
        <v>391056</v>
      </c>
      <c r="C29" s="7">
        <f>SUM(C27:C28)</f>
        <v>14</v>
      </c>
    </row>
  </sheetData>
  <dataValidations count="2">
    <dataValidation type="whole" allowBlank="1" showInputMessage="1" showErrorMessage="1" error="Enter an integer" prompt="Enter between 1-100000" sqref="G18:G20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3" ma:contentTypeDescription="Create a new document." ma:contentTypeScope="" ma:versionID="a87bc3c613533b8ac7dca3daeb6c4e40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7b0d5b16d35015a7fa6c9896b22e390d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433B1E95-D7E6-46BF-82CD-493DBACAD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2026-06-15T13:45:37Z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</Properties>
</file>